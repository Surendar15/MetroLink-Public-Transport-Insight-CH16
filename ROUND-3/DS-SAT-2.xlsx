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urendar\Downloads\"/>
    </mc:Choice>
  </mc:AlternateContent>
  <xr:revisionPtr revIDLastSave="0" documentId="8_{FA096A97-E097-4F5E-B1FD-3477731D0AC0}" xr6:coauthVersionLast="47" xr6:coauthVersionMax="47" xr10:uidLastSave="{00000000-0000-0000-0000-000000000000}"/>
  <bookViews>
    <workbookView xWindow="-120" yWindow="-120" windowWidth="29040" windowHeight="15720" activeTab="3" xr2:uid="{31B58580-793B-475B-8E98-F68BAD993AFC}"/>
  </bookViews>
  <sheets>
    <sheet name="Cleaned_Data" sheetId="2" r:id="rId1"/>
    <sheet name="Summary_KPIs" sheetId="3" r:id="rId2"/>
    <sheet name="Pivot_Analysis" sheetId="4" r:id="rId3"/>
    <sheet name="Summary_Dashboard" sheetId="7" r:id="rId4"/>
  </sheets>
  <definedNames>
    <definedName name="ExternalData_1" localSheetId="0" hidden="1">Cleaned_Data!$A$1:$V$1201</definedName>
    <definedName name="Slicer_route_id">#N/A</definedName>
    <definedName name="Slicer_weekday">#N/A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 i="7" l="1"/>
  <c r="E2" i="7"/>
  <c r="C2" i="7"/>
  <c r="A2" i="7"/>
  <c r="B10" i="3"/>
  <c r="B9" i="3"/>
  <c r="B8" i="3"/>
  <c r="B7" i="3"/>
  <c r="B6" i="3"/>
  <c r="B5" i="3"/>
  <c r="B4" i="3"/>
  <c r="B3" i="3"/>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A0D091-AEB5-4DAB-A367-FA029C1F664D}" keepAlive="1" name="Query - metrolink_cleaned_master" description="Connection to the 'metrolink_cleaned_master' query in the workbook." type="5" refreshedVersion="8" background="1" saveData="1">
    <dbPr connection="Provider=Microsoft.Mashup.OleDb.1;Data Source=$Workbook$;Location=metrolink_cleaned_master;Extended Properties=&quot;&quot;" command="SELECT * FROM [metrolink_cleaned_master]"/>
  </connection>
</connections>
</file>

<file path=xl/sharedStrings.xml><?xml version="1.0" encoding="utf-8"?>
<sst xmlns="http://schemas.openxmlformats.org/spreadsheetml/2006/main" count="7287" uniqueCount="1278">
  <si>
    <t>trip_id</t>
  </si>
  <si>
    <t>route_id</t>
  </si>
  <si>
    <t>date</t>
  </si>
  <si>
    <t>start_time</t>
  </si>
  <si>
    <t>total_boardings</t>
  </si>
  <si>
    <t>total_alightings</t>
  </si>
  <si>
    <t>stops_serviced</t>
  </si>
  <si>
    <t>route_name</t>
  </si>
  <si>
    <t>distance_km</t>
  </si>
  <si>
    <t>stop_count</t>
  </si>
  <si>
    <t>corridor</t>
  </si>
  <si>
    <t>weekday</t>
  </si>
  <si>
    <t>is_weekend</t>
  </si>
  <si>
    <t>is_holiday</t>
  </si>
  <si>
    <t>event</t>
  </si>
  <si>
    <t>scheduled_trips</t>
  </si>
  <si>
    <t>completed_trips</t>
  </si>
  <si>
    <t>delay_minutes</t>
  </si>
  <si>
    <t>hour</t>
  </si>
  <si>
    <t>is_rush_hour</t>
  </si>
  <si>
    <t>has_special_event</t>
  </si>
  <si>
    <t>passenger_density</t>
  </si>
  <si>
    <t>T1000</t>
  </si>
  <si>
    <t>R105</t>
  </si>
  <si>
    <t>Tech Park Shuttle</t>
  </si>
  <si>
    <t>South-East</t>
  </si>
  <si>
    <t>Tuesday</t>
  </si>
  <si>
    <t/>
  </si>
  <si>
    <t>T1001</t>
  </si>
  <si>
    <t>R102</t>
  </si>
  <si>
    <t>Airport Express</t>
  </si>
  <si>
    <t>East Express</t>
  </si>
  <si>
    <t>Saturday</t>
  </si>
  <si>
    <t>T1002</t>
  </si>
  <si>
    <t>R103</t>
  </si>
  <si>
    <t>Downtown Loop</t>
  </si>
  <si>
    <t>Central</t>
  </si>
  <si>
    <t>T1003</t>
  </si>
  <si>
    <t>Sunday</t>
  </si>
  <si>
    <t>T1004</t>
  </si>
  <si>
    <t>Tech Expo</t>
  </si>
  <si>
    <t>T1005</t>
  </si>
  <si>
    <t>T1006</t>
  </si>
  <si>
    <t>T1007</t>
  </si>
  <si>
    <t>T1008</t>
  </si>
  <si>
    <t>R101</t>
  </si>
  <si>
    <t>Corridor North</t>
  </si>
  <si>
    <t>North-South</t>
  </si>
  <si>
    <t>T1009</t>
  </si>
  <si>
    <t>Friday</t>
  </si>
  <si>
    <t>T1010</t>
  </si>
  <si>
    <t>T1011</t>
  </si>
  <si>
    <t>Marathon</t>
  </si>
  <si>
    <t>T1012</t>
  </si>
  <si>
    <t>T1013</t>
  </si>
  <si>
    <t>T1014</t>
  </si>
  <si>
    <t>Thursday</t>
  </si>
  <si>
    <t>T1015</t>
  </si>
  <si>
    <t>T1016</t>
  </si>
  <si>
    <t>R104</t>
  </si>
  <si>
    <t>Suburban Link</t>
  </si>
  <si>
    <t>West-East</t>
  </si>
  <si>
    <t>T1017</t>
  </si>
  <si>
    <t>T1018</t>
  </si>
  <si>
    <t>T1019</t>
  </si>
  <si>
    <t>Monday</t>
  </si>
  <si>
    <t>T1020</t>
  </si>
  <si>
    <t>T1021</t>
  </si>
  <si>
    <t>T1022</t>
  </si>
  <si>
    <t>Wednesday</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</si>
  <si>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</si>
  <si>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</si>
  <si>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</si>
  <si>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</si>
  <si>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</si>
  <si>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</si>
  <si>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</si>
  <si>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</si>
  <si>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</si>
  <si>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</si>
  <si>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</si>
  <si>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</si>
  <si>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</si>
  <si>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</si>
  <si>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</si>
  <si>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</si>
  <si>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</si>
  <si>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</si>
  <si>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</si>
  <si>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</si>
  <si>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</si>
  <si>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</si>
  <si>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</si>
  <si>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</si>
  <si>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</si>
  <si>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</si>
  <si>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</si>
  <si>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</si>
  <si>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</si>
  <si>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</si>
  <si>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</si>
  <si>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</si>
  <si>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</si>
  <si>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</si>
  <si>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</si>
  <si>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</si>
  <si>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</si>
  <si>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</si>
  <si>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</si>
  <si>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</si>
  <si>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</si>
  <si>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</si>
  <si>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</si>
  <si>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</si>
  <si>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</si>
  <si>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</si>
  <si>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</si>
  <si>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</si>
  <si>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</si>
  <si>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</si>
  <si>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</si>
  <si>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</si>
  <si>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</si>
  <si>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</si>
  <si>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</si>
  <si>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</si>
  <si>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</si>
  <si>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</si>
  <si>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</si>
  <si>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</si>
  <si>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</si>
  <si>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</si>
  <si>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</si>
  <si>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</si>
  <si>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Music Fest</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</si>
  <si>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</si>
  <si>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</si>
  <si>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</si>
  <si>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</si>
  <si>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</si>
  <si>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</si>
  <si>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</si>
  <si>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</si>
  <si>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</si>
  <si>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</si>
  <si>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</si>
  <si>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</si>
  <si>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</si>
  <si>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</si>
  <si>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</si>
  <si>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</si>
  <si>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</si>
  <si>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</si>
  <si>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</si>
  <si>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</si>
  <si>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</si>
  <si>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</si>
  <si>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</si>
  <si>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</si>
  <si>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</si>
  <si>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</si>
  <si>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</si>
  <si>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</si>
  <si>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</si>
  <si>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</si>
  <si>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</si>
  <si>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</si>
  <si>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</si>
  <si>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</si>
  <si>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</si>
  <si>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</si>
  <si>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</si>
  <si>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</si>
  <si>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</si>
  <si>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</si>
  <si>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</si>
  <si>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</si>
  <si>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</si>
  <si>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</si>
  <si>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</si>
  <si>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</si>
  <si>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</si>
  <si>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</si>
  <si>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</si>
  <si>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</si>
  <si>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</si>
  <si>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</si>
  <si>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</si>
  <si>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</si>
  <si>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</si>
  <si>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</si>
  <si>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</si>
  <si>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</si>
  <si>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</si>
  <si>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</si>
  <si>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</si>
  <si>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</si>
  <si>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</si>
  <si>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</si>
  <si>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</si>
  <si>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</si>
  <si>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</si>
  <si>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</si>
  <si>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</si>
  <si>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</si>
  <si>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</si>
  <si>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</si>
  <si>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</si>
  <si>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</si>
  <si>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</si>
  <si>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</si>
  <si>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</si>
  <si>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</si>
  <si>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</si>
  <si>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</si>
  <si>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</si>
  <si>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</si>
  <si>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</si>
  <si>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</si>
  <si>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</si>
  <si>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</si>
  <si>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</si>
  <si>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</si>
  <si>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</si>
  <si>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</si>
  <si>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</si>
  <si>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</si>
  <si>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</si>
  <si>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</si>
  <si>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</si>
  <si>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</si>
  <si>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</si>
  <si>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</si>
  <si>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</si>
  <si>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</si>
  <si>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</si>
  <si>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</si>
  <si>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</si>
  <si>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</si>
  <si>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</si>
  <si>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</si>
  <si>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</si>
  <si>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</si>
  <si>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</si>
  <si>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</si>
  <si>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</si>
  <si>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T1198</t>
  </si>
  <si>
    <t>T1199</t>
  </si>
  <si>
    <t>T1200</t>
  </si>
  <si>
    <t>T1201</t>
  </si>
  <si>
    <t>T1202</t>
  </si>
  <si>
    <t>T1203</t>
  </si>
  <si>
    <t>T1204</t>
  </si>
  <si>
    <t>T1205</t>
  </si>
  <si>
    <t>T1206</t>
  </si>
  <si>
    <t>T1207</t>
  </si>
  <si>
    <t>T1208</t>
  </si>
  <si>
    <t>T1209</t>
  </si>
  <si>
    <t>T1210</t>
  </si>
  <si>
    <t>T1211</t>
  </si>
  <si>
    <t>T1212</t>
  </si>
  <si>
    <t>T1213</t>
  </si>
  <si>
    <t>T1214</t>
  </si>
  <si>
    <t>T1215</t>
  </si>
  <si>
    <t>T1216</t>
  </si>
  <si>
    <t>T1217</t>
  </si>
  <si>
    <t>T1218</t>
  </si>
  <si>
    <t>T1219</t>
  </si>
  <si>
    <t>T1220</t>
  </si>
  <si>
    <t>T1221</t>
  </si>
  <si>
    <t>T1222</t>
  </si>
  <si>
    <t>T1223</t>
  </si>
  <si>
    <t>T1224</t>
  </si>
  <si>
    <t>T1225</t>
  </si>
  <si>
    <t>T1226</t>
  </si>
  <si>
    <t>T1227</t>
  </si>
  <si>
    <t>T1228</t>
  </si>
  <si>
    <t>T1229</t>
  </si>
  <si>
    <t>T1230</t>
  </si>
  <si>
    <t>T1231</t>
  </si>
  <si>
    <t>T1232</t>
  </si>
  <si>
    <t>T1233</t>
  </si>
  <si>
    <t>T1234</t>
  </si>
  <si>
    <t>T1235</t>
  </si>
  <si>
    <t>T1236</t>
  </si>
  <si>
    <t>T1237</t>
  </si>
  <si>
    <t>T1238</t>
  </si>
  <si>
    <t>T1239</t>
  </si>
  <si>
    <t>T1240</t>
  </si>
  <si>
    <t>T1241</t>
  </si>
  <si>
    <t>T1242</t>
  </si>
  <si>
    <t>T1243</t>
  </si>
  <si>
    <t>T1244</t>
  </si>
  <si>
    <t>T1245</t>
  </si>
  <si>
    <t>T1246</t>
  </si>
  <si>
    <t>T1247</t>
  </si>
  <si>
    <t>T1248</t>
  </si>
  <si>
    <t>T1249</t>
  </si>
  <si>
    <t>T1250</t>
  </si>
  <si>
    <t>T1251</t>
  </si>
  <si>
    <t>T1252</t>
  </si>
  <si>
    <t>T1253</t>
  </si>
  <si>
    <t>T1254</t>
  </si>
  <si>
    <t>T1255</t>
  </si>
  <si>
    <t>T1256</t>
  </si>
  <si>
    <t>T1257</t>
  </si>
  <si>
    <t>T1258</t>
  </si>
  <si>
    <t>T1259</t>
  </si>
  <si>
    <t>T1260</t>
  </si>
  <si>
    <t>T1261</t>
  </si>
  <si>
    <t>T1262</t>
  </si>
  <si>
    <t>T1263</t>
  </si>
  <si>
    <t>T1264</t>
  </si>
  <si>
    <t>T1265</t>
  </si>
  <si>
    <t>T1266</t>
  </si>
  <si>
    <t>T1267</t>
  </si>
  <si>
    <t>T1268</t>
  </si>
  <si>
    <t>T1269</t>
  </si>
  <si>
    <t>T1270</t>
  </si>
  <si>
    <t>T1271</t>
  </si>
  <si>
    <t>T1272</t>
  </si>
  <si>
    <t>T1273</t>
  </si>
  <si>
    <t>T1274</t>
  </si>
  <si>
    <t>T1275</t>
  </si>
  <si>
    <t>T1276</t>
  </si>
  <si>
    <t>T1277</t>
  </si>
  <si>
    <t>T1278</t>
  </si>
  <si>
    <t>T1279</t>
  </si>
  <si>
    <t>T1280</t>
  </si>
  <si>
    <t>T1281</t>
  </si>
  <si>
    <t>T1282</t>
  </si>
  <si>
    <t>T1283</t>
  </si>
  <si>
    <t>T1284</t>
  </si>
  <si>
    <t>T1285</t>
  </si>
  <si>
    <t>T1286</t>
  </si>
  <si>
    <t>T1287</t>
  </si>
  <si>
    <t>T1288</t>
  </si>
  <si>
    <t>T1289</t>
  </si>
  <si>
    <t>T1290</t>
  </si>
  <si>
    <t>T1291</t>
  </si>
  <si>
    <t>T1292</t>
  </si>
  <si>
    <t>T1293</t>
  </si>
  <si>
    <t>T1294</t>
  </si>
  <si>
    <t>T1295</t>
  </si>
  <si>
    <t>T1296</t>
  </si>
  <si>
    <t>T1297</t>
  </si>
  <si>
    <t>T1298</t>
  </si>
  <si>
    <t>T1299</t>
  </si>
  <si>
    <t>T1300</t>
  </si>
  <si>
    <t>T1301</t>
  </si>
  <si>
    <t>T1302</t>
  </si>
  <si>
    <t>T1303</t>
  </si>
  <si>
    <t>T1304</t>
  </si>
  <si>
    <t>T1305</t>
  </si>
  <si>
    <t>T1306</t>
  </si>
  <si>
    <t>T1307</t>
  </si>
  <si>
    <t>T1308</t>
  </si>
  <si>
    <t>T1309</t>
  </si>
  <si>
    <t>T1310</t>
  </si>
  <si>
    <t>T1311</t>
  </si>
  <si>
    <t>T1312</t>
  </si>
  <si>
    <t>T1313</t>
  </si>
  <si>
    <t>T1314</t>
  </si>
  <si>
    <t>T1315</t>
  </si>
  <si>
    <t>T1316</t>
  </si>
  <si>
    <t>T1317</t>
  </si>
  <si>
    <t>T1318</t>
  </si>
  <si>
    <t>T1319</t>
  </si>
  <si>
    <t>T1320</t>
  </si>
  <si>
    <t>T1321</t>
  </si>
  <si>
    <t>T1322</t>
  </si>
  <si>
    <t>T1323</t>
  </si>
  <si>
    <t>T1324</t>
  </si>
  <si>
    <t>T1325</t>
  </si>
  <si>
    <t>T1326</t>
  </si>
  <si>
    <t>T1327</t>
  </si>
  <si>
    <t>T1328</t>
  </si>
  <si>
    <t>T1329</t>
  </si>
  <si>
    <t>T1330</t>
  </si>
  <si>
    <t>T1331</t>
  </si>
  <si>
    <t>T1332</t>
  </si>
  <si>
    <t>T1333</t>
  </si>
  <si>
    <t>T1334</t>
  </si>
  <si>
    <t>T1335</t>
  </si>
  <si>
    <t>T1336</t>
  </si>
  <si>
    <t>T1337</t>
  </si>
  <si>
    <t>T1338</t>
  </si>
  <si>
    <t>T1339</t>
  </si>
  <si>
    <t>T1340</t>
  </si>
  <si>
    <t>T1341</t>
  </si>
  <si>
    <t>T1342</t>
  </si>
  <si>
    <t>T1343</t>
  </si>
  <si>
    <t>T1344</t>
  </si>
  <si>
    <t>T1345</t>
  </si>
  <si>
    <t>T1346</t>
  </si>
  <si>
    <t>T1347</t>
  </si>
  <si>
    <t>T1348</t>
  </si>
  <si>
    <t>T1349</t>
  </si>
  <si>
    <t>T1350</t>
  </si>
  <si>
    <t>T1351</t>
  </si>
  <si>
    <t>T1352</t>
  </si>
  <si>
    <t>T1353</t>
  </si>
  <si>
    <t>T1354</t>
  </si>
  <si>
    <t>T1355</t>
  </si>
  <si>
    <t>T1356</t>
  </si>
  <si>
    <t>T1357</t>
  </si>
  <si>
    <t>T1358</t>
  </si>
  <si>
    <t>T1359</t>
  </si>
  <si>
    <t>T1360</t>
  </si>
  <si>
    <t>T1361</t>
  </si>
  <si>
    <t>T1362</t>
  </si>
  <si>
    <t>T1363</t>
  </si>
  <si>
    <t>T1364</t>
  </si>
  <si>
    <t>T1365</t>
  </si>
  <si>
    <t>T1366</t>
  </si>
  <si>
    <t>T1367</t>
  </si>
  <si>
    <t>T1368</t>
  </si>
  <si>
    <t>T1369</t>
  </si>
  <si>
    <t>T1370</t>
  </si>
  <si>
    <t>T1371</t>
  </si>
  <si>
    <t>T1372</t>
  </si>
  <si>
    <t>T1373</t>
  </si>
  <si>
    <t>T1374</t>
  </si>
  <si>
    <t>T1375</t>
  </si>
  <si>
    <t>T1376</t>
  </si>
  <si>
    <t>T1377</t>
  </si>
  <si>
    <t>T1378</t>
  </si>
  <si>
    <t>T1379</t>
  </si>
  <si>
    <t>T1380</t>
  </si>
  <si>
    <t>T1381</t>
  </si>
  <si>
    <t>T1382</t>
  </si>
  <si>
    <t>T1383</t>
  </si>
  <si>
    <t>T1384</t>
  </si>
  <si>
    <t>T1385</t>
  </si>
  <si>
    <t>T1386</t>
  </si>
  <si>
    <t>T1387</t>
  </si>
  <si>
    <t>T1388</t>
  </si>
  <si>
    <t>T1389</t>
  </si>
  <si>
    <t>T1390</t>
  </si>
  <si>
    <t>T1391</t>
  </si>
  <si>
    <t>T1392</t>
  </si>
  <si>
    <t>T1393</t>
  </si>
  <si>
    <t>T1394</t>
  </si>
  <si>
    <t>T1395</t>
  </si>
  <si>
    <t>T1396</t>
  </si>
  <si>
    <t>T1397</t>
  </si>
  <si>
    <t>T1398</t>
  </si>
  <si>
    <t>T1399</t>
  </si>
  <si>
    <t>T1400</t>
  </si>
  <si>
    <t>T1401</t>
  </si>
  <si>
    <t>T1402</t>
  </si>
  <si>
    <t>T1403</t>
  </si>
  <si>
    <t>T1404</t>
  </si>
  <si>
    <t>T1405</t>
  </si>
  <si>
    <t>T1406</t>
  </si>
  <si>
    <t>T1407</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</si>
  <si>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</si>
  <si>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</si>
  <si>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</si>
  <si>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</si>
  <si>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</si>
  <si>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</si>
  <si>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</si>
  <si>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</si>
  <si>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</si>
  <si>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</si>
  <si>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</si>
  <si>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</si>
  <si>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</si>
  <si>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</si>
  <si>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</si>
  <si>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</si>
  <si>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</si>
  <si>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</si>
  <si>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</si>
  <si>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</si>
  <si>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</si>
  <si>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</si>
  <si>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T1430</t>
  </si>
  <si>
    <t>T1431</t>
  </si>
  <si>
    <t>T1432</t>
  </si>
  <si>
    <t>T1433</t>
  </si>
  <si>
    <t>T1434</t>
  </si>
  <si>
    <t>T1435</t>
  </si>
  <si>
    <t>T1436</t>
  </si>
  <si>
    <t>T1437</t>
  </si>
  <si>
    <t>T1438</t>
  </si>
  <si>
    <t>T1439</t>
  </si>
  <si>
    <t>T1440</t>
  </si>
  <si>
    <t>T1441</t>
  </si>
  <si>
    <t>T1442</t>
  </si>
  <si>
    <t>T1443</t>
  </si>
  <si>
    <t>T1444</t>
  </si>
  <si>
    <t>T1445</t>
  </si>
  <si>
    <t>T1446</t>
  </si>
  <si>
    <t>T1447</t>
  </si>
  <si>
    <t>T1448</t>
  </si>
  <si>
    <t>T1449</t>
  </si>
  <si>
    <t>T1450</t>
  </si>
  <si>
    <t>T1451</t>
  </si>
  <si>
    <t>T1452</t>
  </si>
  <si>
    <t>T1453</t>
  </si>
  <si>
    <t>T1454</t>
  </si>
  <si>
    <t>T1455</t>
  </si>
  <si>
    <t>T1456</t>
  </si>
  <si>
    <t>T1457</t>
  </si>
  <si>
    <t>T1458</t>
  </si>
  <si>
    <t>T1459</t>
  </si>
  <si>
    <t>T1460</t>
  </si>
  <si>
    <t>T1461</t>
  </si>
  <si>
    <t>T1462</t>
  </si>
  <si>
    <t>T1463</t>
  </si>
  <si>
    <t>T1464</t>
  </si>
  <si>
    <t>T1465</t>
  </si>
  <si>
    <t>T1466</t>
  </si>
  <si>
    <t>T1467</t>
  </si>
  <si>
    <t>T1468</t>
  </si>
  <si>
    <t>T1469</t>
  </si>
  <si>
    <t>T1470</t>
  </si>
  <si>
    <t>T1471</t>
  </si>
  <si>
    <t>T1472</t>
  </si>
  <si>
    <t>T1473</t>
  </si>
  <si>
    <t>T1474</t>
  </si>
  <si>
    <t>T1475</t>
  </si>
  <si>
    <t>T1476</t>
  </si>
  <si>
    <t>T1477</t>
  </si>
  <si>
    <t>T1478</t>
  </si>
  <si>
    <t>T1479</t>
  </si>
  <si>
    <t>T1480</t>
  </si>
  <si>
    <t>T1481</t>
  </si>
  <si>
    <t>T1482</t>
  </si>
  <si>
    <t>T1483</t>
  </si>
  <si>
    <t>T1484</t>
  </si>
  <si>
    <t>T1485</t>
  </si>
  <si>
    <t>T1486</t>
  </si>
  <si>
    <t>T1487</t>
  </si>
  <si>
    <t>T1488</t>
  </si>
  <si>
    <t>T1489</t>
  </si>
  <si>
    <t>T1490</t>
  </si>
  <si>
    <t>T1491</t>
  </si>
  <si>
    <t>T1492</t>
  </si>
  <si>
    <t>T1493</t>
  </si>
  <si>
    <t>T1494</t>
  </si>
  <si>
    <t>T1495</t>
  </si>
  <si>
    <t>T1496</t>
  </si>
  <si>
    <t>T1497</t>
  </si>
  <si>
    <t>T1498</t>
  </si>
  <si>
    <t>T1499</t>
  </si>
  <si>
    <t>T1500</t>
  </si>
  <si>
    <t>T1501</t>
  </si>
  <si>
    <t>T1502</t>
  </si>
  <si>
    <t>T1503</t>
  </si>
  <si>
    <t>T1504</t>
  </si>
  <si>
    <t>T1505</t>
  </si>
  <si>
    <t>T1506</t>
  </si>
  <si>
    <t>T1507</t>
  </si>
  <si>
    <t>T1508</t>
  </si>
  <si>
    <t>T1509</t>
  </si>
  <si>
    <t>T1510</t>
  </si>
  <si>
    <t>T1511</t>
  </si>
  <si>
    <t>T1512</t>
  </si>
  <si>
    <t>T1513</t>
  </si>
  <si>
    <t>T1514</t>
  </si>
  <si>
    <t>T1515</t>
  </si>
  <si>
    <t>T1516</t>
  </si>
  <si>
    <t>T1517</t>
  </si>
  <si>
    <t>T1518</t>
  </si>
  <si>
    <t>T1519</t>
  </si>
  <si>
    <t>T1520</t>
  </si>
  <si>
    <t>T1521</t>
  </si>
  <si>
    <t>T1522</t>
  </si>
  <si>
    <t>T1523</t>
  </si>
  <si>
    <t>T1524</t>
  </si>
  <si>
    <t>T1525</t>
  </si>
  <si>
    <t>T1526</t>
  </si>
  <si>
    <t>T1527</t>
  </si>
  <si>
    <t>T1528</t>
  </si>
  <si>
    <t>T1529</t>
  </si>
  <si>
    <t>T1530</t>
  </si>
  <si>
    <t>T1531</t>
  </si>
  <si>
    <t>T1532</t>
  </si>
  <si>
    <t>T1533</t>
  </si>
  <si>
    <t>T1534</t>
  </si>
  <si>
    <t>T1535</t>
  </si>
  <si>
    <t>T1536</t>
  </si>
  <si>
    <t>T1537</t>
  </si>
  <si>
    <t>T1538</t>
  </si>
  <si>
    <t>T1539</t>
  </si>
  <si>
    <t>T1540</t>
  </si>
  <si>
    <t>T1541</t>
  </si>
  <si>
    <t>T1542</t>
  </si>
  <si>
    <t>T1543</t>
  </si>
  <si>
    <t>T1544</t>
  </si>
  <si>
    <t>T1545</t>
  </si>
  <si>
    <t>T1546</t>
  </si>
  <si>
    <t>T1547</t>
  </si>
  <si>
    <t>T1548</t>
  </si>
  <si>
    <t>T1549</t>
  </si>
  <si>
    <t>T1550</t>
  </si>
  <si>
    <t>T1551</t>
  </si>
  <si>
    <t>T1552</t>
  </si>
  <si>
    <t>T1553</t>
  </si>
  <si>
    <t>T1554</t>
  </si>
  <si>
    <t>T1555</t>
  </si>
  <si>
    <t>T1556</t>
  </si>
  <si>
    <t>T1557</t>
  </si>
  <si>
    <t>T1558</t>
  </si>
  <si>
    <t>T1559</t>
  </si>
  <si>
    <t>T1560</t>
  </si>
  <si>
    <t>T1561</t>
  </si>
  <si>
    <t>T1562</t>
  </si>
  <si>
    <t>T1563</t>
  </si>
  <si>
    <t>T1564</t>
  </si>
  <si>
    <t>T1565</t>
  </si>
  <si>
    <t>T1566</t>
  </si>
  <si>
    <t>T1567</t>
  </si>
  <si>
    <t>T1568</t>
  </si>
  <si>
    <t>T1569</t>
  </si>
  <si>
    <t>T1570</t>
  </si>
  <si>
    <t>T1571</t>
  </si>
  <si>
    <t>T1572</t>
  </si>
  <si>
    <t>T1573</t>
  </si>
  <si>
    <t>T1574</t>
  </si>
  <si>
    <t>T1575</t>
  </si>
  <si>
    <t>T1576</t>
  </si>
  <si>
    <t>T1577</t>
  </si>
  <si>
    <t>T1578</t>
  </si>
  <si>
    <t>T1579</t>
  </si>
  <si>
    <t>T1580</t>
  </si>
  <si>
    <t>T1581</t>
  </si>
  <si>
    <t>T1582</t>
  </si>
  <si>
    <t>T1583</t>
  </si>
  <si>
    <t>T1584</t>
  </si>
  <si>
    <t>T1585</t>
  </si>
  <si>
    <t>T1586</t>
  </si>
  <si>
    <t>T1587</t>
  </si>
  <si>
    <t>T1588</t>
  </si>
  <si>
    <t>T1589</t>
  </si>
  <si>
    <t>T1590</t>
  </si>
  <si>
    <t>T1591</t>
  </si>
  <si>
    <t>T1592</t>
  </si>
  <si>
    <t>T1593</t>
  </si>
  <si>
    <t>T1594</t>
  </si>
  <si>
    <t>T1595</t>
  </si>
  <si>
    <t>T1596</t>
  </si>
  <si>
    <t>T1597</t>
  </si>
  <si>
    <t>T1598</t>
  </si>
  <si>
    <t>T1599</t>
  </si>
  <si>
    <t>T1600</t>
  </si>
  <si>
    <t>T1601</t>
  </si>
  <si>
    <t>T1602</t>
  </si>
  <si>
    <t>T1603</t>
  </si>
  <si>
    <t>T1604</t>
  </si>
  <si>
    <t>T1605</t>
  </si>
  <si>
    <t>T1606</t>
  </si>
  <si>
    <t>T1607</t>
  </si>
  <si>
    <t>T1608</t>
  </si>
  <si>
    <t>T1609</t>
  </si>
  <si>
    <t>T1610</t>
  </si>
  <si>
    <t>T1611</t>
  </si>
  <si>
    <t>T1612</t>
  </si>
  <si>
    <t>T1613</t>
  </si>
  <si>
    <t>T1614</t>
  </si>
  <si>
    <t>T1615</t>
  </si>
  <si>
    <t>T1616</t>
  </si>
  <si>
    <t>T1617</t>
  </si>
  <si>
    <t>T1618</t>
  </si>
  <si>
    <t>T1619</t>
  </si>
  <si>
    <t>T1620</t>
  </si>
  <si>
    <t>T1621</t>
  </si>
  <si>
    <t>T1622</t>
  </si>
  <si>
    <t>T1623</t>
  </si>
  <si>
    <t>T1624</t>
  </si>
  <si>
    <t>T1625</t>
  </si>
  <si>
    <t>T1626</t>
  </si>
  <si>
    <t>T1627</t>
  </si>
  <si>
    <t>T1628</t>
  </si>
  <si>
    <t>T1629</t>
  </si>
  <si>
    <t>T1630</t>
  </si>
  <si>
    <t>T1631</t>
  </si>
  <si>
    <t>T1632</t>
  </si>
  <si>
    <t>T1633</t>
  </si>
  <si>
    <t>T1634</t>
  </si>
  <si>
    <t>T1635</t>
  </si>
  <si>
    <t>T1636</t>
  </si>
  <si>
    <t>T1637</t>
  </si>
  <si>
    <t>T1638</t>
  </si>
  <si>
    <t>T1639</t>
  </si>
  <si>
    <t>T1640</t>
  </si>
  <si>
    <t>T1641</t>
  </si>
  <si>
    <t>T1642</t>
  </si>
  <si>
    <t>T1643</t>
  </si>
  <si>
    <t>T1644</t>
  </si>
  <si>
    <t>T1645</t>
  </si>
  <si>
    <t>T1646</t>
  </si>
  <si>
    <t>T1647</t>
  </si>
  <si>
    <t>T1648</t>
  </si>
  <si>
    <t>T1649</t>
  </si>
  <si>
    <t>T1650</t>
  </si>
  <si>
    <t>T1651</t>
  </si>
  <si>
    <t>T1652</t>
  </si>
  <si>
    <t>T1653</t>
  </si>
  <si>
    <t>T1654</t>
  </si>
  <si>
    <t>T1655</t>
  </si>
  <si>
    <t>T1656</t>
  </si>
  <si>
    <t>T1657</t>
  </si>
  <si>
    <t>T1658</t>
  </si>
  <si>
    <t>T1659</t>
  </si>
  <si>
    <t>T1660</t>
  </si>
  <si>
    <t>T1661</t>
  </si>
  <si>
    <t>T1662</t>
  </si>
  <si>
    <t>T1663</t>
  </si>
  <si>
    <t>T1664</t>
  </si>
  <si>
    <t>T1665</t>
  </si>
  <si>
    <t>T1666</t>
  </si>
  <si>
    <t>T1667</t>
  </si>
  <si>
    <t>T1668</t>
  </si>
  <si>
    <t>T1669</t>
  </si>
  <si>
    <t>T1670</t>
  </si>
  <si>
    <t>T1671</t>
  </si>
  <si>
    <t>T1672</t>
  </si>
  <si>
    <t>T1673</t>
  </si>
  <si>
    <t>T1674</t>
  </si>
  <si>
    <t>T1675</t>
  </si>
  <si>
    <t>T1676</t>
  </si>
  <si>
    <t>T1677</t>
  </si>
  <si>
    <t>T1678</t>
  </si>
  <si>
    <t>T1679</t>
  </si>
  <si>
    <t>T1680</t>
  </si>
  <si>
    <t>T1681</t>
  </si>
  <si>
    <t>T1682</t>
  </si>
  <si>
    <t>T1683</t>
  </si>
  <si>
    <t>T1684</t>
  </si>
  <si>
    <t>T1685</t>
  </si>
  <si>
    <t>T1686</t>
  </si>
  <si>
    <t>T1687</t>
  </si>
  <si>
    <t>T1688</t>
  </si>
  <si>
    <t>T1689</t>
  </si>
  <si>
    <t>T1690</t>
  </si>
  <si>
    <t>T1691</t>
  </si>
  <si>
    <t>T1692</t>
  </si>
  <si>
    <t>T1693</t>
  </si>
  <si>
    <t>T1694</t>
  </si>
  <si>
    <t>T1695</t>
  </si>
  <si>
    <t>T1696</t>
  </si>
  <si>
    <t>T1697</t>
  </si>
  <si>
    <t>T1698</t>
  </si>
  <si>
    <t>T1699</t>
  </si>
  <si>
    <t>T1700</t>
  </si>
  <si>
    <t>T1701</t>
  </si>
  <si>
    <t>T1702</t>
  </si>
  <si>
    <t>T1703</t>
  </si>
  <si>
    <t>T1704</t>
  </si>
  <si>
    <t>T1705</t>
  </si>
  <si>
    <t>T1706</t>
  </si>
  <si>
    <t>T1707</t>
  </si>
  <si>
    <t>T1708</t>
  </si>
  <si>
    <t>T1709</t>
  </si>
  <si>
    <t>T1710</t>
  </si>
  <si>
    <t>T1711</t>
  </si>
  <si>
    <t>T1712</t>
  </si>
  <si>
    <t>T1713</t>
  </si>
  <si>
    <t>T1714</t>
  </si>
  <si>
    <t>T1715</t>
  </si>
  <si>
    <t>T1716</t>
  </si>
  <si>
    <t>T1717</t>
  </si>
  <si>
    <t>T1718</t>
  </si>
  <si>
    <t>T1719</t>
  </si>
  <si>
    <t>T1720</t>
  </si>
  <si>
    <t>T1721</t>
  </si>
  <si>
    <t>T1722</t>
  </si>
  <si>
    <t>T1723</t>
  </si>
  <si>
    <t>T1724</t>
  </si>
  <si>
    <t>T1725</t>
  </si>
  <si>
    <t>T1726</t>
  </si>
  <si>
    <t>T1727</t>
  </si>
  <si>
    <t>T1728</t>
  </si>
  <si>
    <t>T1729</t>
  </si>
  <si>
    <t>T1730</t>
  </si>
  <si>
    <t>T1731</t>
  </si>
  <si>
    <t>T1732</t>
  </si>
  <si>
    <t>T1733</t>
  </si>
  <si>
    <t>T1734</t>
  </si>
  <si>
    <t>T1735</t>
  </si>
  <si>
    <t>T1736</t>
  </si>
  <si>
    <t>T1737</t>
  </si>
  <si>
    <t>T1738</t>
  </si>
  <si>
    <t>T1739</t>
  </si>
  <si>
    <t>T1740</t>
  </si>
  <si>
    <t>T1741</t>
  </si>
  <si>
    <t>T1742</t>
  </si>
  <si>
    <t>T1743</t>
  </si>
  <si>
    <t>T1744</t>
  </si>
  <si>
    <t>T1745</t>
  </si>
  <si>
    <t>T1746</t>
  </si>
  <si>
    <t>T1747</t>
  </si>
  <si>
    <t>T1748</t>
  </si>
  <si>
    <t>T1749</t>
  </si>
  <si>
    <t>T1750</t>
  </si>
  <si>
    <t>T1751</t>
  </si>
  <si>
    <t>T1752</t>
  </si>
  <si>
    <t>T1753</t>
  </si>
  <si>
    <t>T1754</t>
  </si>
  <si>
    <t>T1755</t>
  </si>
  <si>
    <t>T1756</t>
  </si>
  <si>
    <t>T1757</t>
  </si>
  <si>
    <t>T1758</t>
  </si>
  <si>
    <t>T1759</t>
  </si>
  <si>
    <t>T1760</t>
  </si>
  <si>
    <t>T1761</t>
  </si>
  <si>
    <t>T1762</t>
  </si>
  <si>
    <t>T1763</t>
  </si>
  <si>
    <t>T1764</t>
  </si>
  <si>
    <t>T1765</t>
  </si>
  <si>
    <t>T1766</t>
  </si>
  <si>
    <t>T1767</t>
  </si>
  <si>
    <t>T1768</t>
  </si>
  <si>
    <t>T1769</t>
  </si>
  <si>
    <t>T1770</t>
  </si>
  <si>
    <t>T1771</t>
  </si>
  <si>
    <t>T1772</t>
  </si>
  <si>
    <t>T1773</t>
  </si>
  <si>
    <t>T1774</t>
  </si>
  <si>
    <t>T1775</t>
  </si>
  <si>
    <t>T1776</t>
  </si>
  <si>
    <t>T1777</t>
  </si>
  <si>
    <t>T1778</t>
  </si>
  <si>
    <t>T1779</t>
  </si>
  <si>
    <t>T1780</t>
  </si>
  <si>
    <t>T1781</t>
  </si>
  <si>
    <t>T1782</t>
  </si>
  <si>
    <t>T1783</t>
  </si>
  <si>
    <t>T1784</t>
  </si>
  <si>
    <t>T1785</t>
  </si>
  <si>
    <t>T1786</t>
  </si>
  <si>
    <t>T1787</t>
  </si>
  <si>
    <t>T1788</t>
  </si>
  <si>
    <t>T1789</t>
  </si>
  <si>
    <t>T1790</t>
  </si>
  <si>
    <t>T1791</t>
  </si>
  <si>
    <t>T1792</t>
  </si>
  <si>
    <t>T1793</t>
  </si>
  <si>
    <t>T1794</t>
  </si>
  <si>
    <t>T1795</t>
  </si>
  <si>
    <t>T1796</t>
  </si>
  <si>
    <t>T1797</t>
  </si>
  <si>
    <t>T1798</t>
  </si>
  <si>
    <t>T1799</t>
  </si>
  <si>
    <t>T1800</t>
  </si>
  <si>
    <t>T1801</t>
  </si>
  <si>
    <t>T1802</t>
  </si>
  <si>
    <t>T1803</t>
  </si>
  <si>
    <t>T1804</t>
  </si>
  <si>
    <t>T1805</t>
  </si>
  <si>
    <t>T1806</t>
  </si>
  <si>
    <t>T1807</t>
  </si>
  <si>
    <t>T1808</t>
  </si>
  <si>
    <t>T1809</t>
  </si>
  <si>
    <t>T1810</t>
  </si>
  <si>
    <t>T1811</t>
  </si>
  <si>
    <t>T1812</t>
  </si>
  <si>
    <t>T1813</t>
  </si>
  <si>
    <t>T1814</t>
  </si>
  <si>
    <t>T1815</t>
  </si>
  <si>
    <t>T1816</t>
  </si>
  <si>
    <t>T1817</t>
  </si>
  <si>
    <t>T1818</t>
  </si>
  <si>
    <t>T1819</t>
  </si>
  <si>
    <t>T1820</t>
  </si>
  <si>
    <t>T1821</t>
  </si>
  <si>
    <t>T1822</t>
  </si>
  <si>
    <t>T1823</t>
  </si>
  <si>
    <t>T1824</t>
  </si>
  <si>
    <t>T1825</t>
  </si>
  <si>
    <t>T1826</t>
  </si>
  <si>
    <t>T1827</t>
  </si>
  <si>
    <t>T1828</t>
  </si>
  <si>
    <t>T1829</t>
  </si>
  <si>
    <t>T1830</t>
  </si>
  <si>
    <t>T1831</t>
  </si>
  <si>
    <t>T1832</t>
  </si>
  <si>
    <t>T1833</t>
  </si>
  <si>
    <t>T1834</t>
  </si>
  <si>
    <t>T1835</t>
  </si>
  <si>
    <t>T1836</t>
  </si>
  <si>
    <t>T1837</t>
  </si>
  <si>
    <t>T1838</t>
  </si>
  <si>
    <t>T1839</t>
  </si>
  <si>
    <t>T1840</t>
  </si>
  <si>
    <t>T1841</t>
  </si>
  <si>
    <t>T1842</t>
  </si>
  <si>
    <t>T1843</t>
  </si>
  <si>
    <t>T1844</t>
  </si>
  <si>
    <t>T1845</t>
  </si>
  <si>
    <t>T1846</t>
  </si>
  <si>
    <t>T1847</t>
  </si>
  <si>
    <t>T1848</t>
  </si>
  <si>
    <t>T1849</t>
  </si>
  <si>
    <t>T1850</t>
  </si>
  <si>
    <t>T1851</t>
  </si>
  <si>
    <t>T1852</t>
  </si>
  <si>
    <t>T1853</t>
  </si>
  <si>
    <t>T1854</t>
  </si>
  <si>
    <t>T1855</t>
  </si>
  <si>
    <t>T1856</t>
  </si>
  <si>
    <t>T1857</t>
  </si>
  <si>
    <t>T1858</t>
  </si>
  <si>
    <t>T1859</t>
  </si>
  <si>
    <t>T1860</t>
  </si>
  <si>
    <t>T1861</t>
  </si>
  <si>
    <t>T1862</t>
  </si>
  <si>
    <t>T1863</t>
  </si>
  <si>
    <t>T1864</t>
  </si>
  <si>
    <t>T1865</t>
  </si>
  <si>
    <t>T1866</t>
  </si>
  <si>
    <t>T1867</t>
  </si>
  <si>
    <t>T1868</t>
  </si>
  <si>
    <t>T1869</t>
  </si>
  <si>
    <t>T1870</t>
  </si>
  <si>
    <t>T1871</t>
  </si>
  <si>
    <t>T1872</t>
  </si>
  <si>
    <t>T1873</t>
  </si>
  <si>
    <t>T1874</t>
  </si>
  <si>
    <t>T1875</t>
  </si>
  <si>
    <t>T1876</t>
  </si>
  <si>
    <t>T1877</t>
  </si>
  <si>
    <t>T1878</t>
  </si>
  <si>
    <t>T1879</t>
  </si>
  <si>
    <t>T1880</t>
  </si>
  <si>
    <t>T1881</t>
  </si>
  <si>
    <t>T1882</t>
  </si>
  <si>
    <t>T1883</t>
  </si>
  <si>
    <t>T1884</t>
  </si>
  <si>
    <t>T1885</t>
  </si>
  <si>
    <t>T1886</t>
  </si>
  <si>
    <t>T1887</t>
  </si>
  <si>
    <t>T1888</t>
  </si>
  <si>
    <t>T1889</t>
  </si>
  <si>
    <t>T1890</t>
  </si>
  <si>
    <t>T1891</t>
  </si>
  <si>
    <t>T1892</t>
  </si>
  <si>
    <t>T1893</t>
  </si>
  <si>
    <t>T1894</t>
  </si>
  <si>
    <t>T1895</t>
  </si>
  <si>
    <t>T1896</t>
  </si>
  <si>
    <t>T1897</t>
  </si>
  <si>
    <t>T1898</t>
  </si>
  <si>
    <t>T1899</t>
  </si>
  <si>
    <t>T1900</t>
  </si>
  <si>
    <t>T1901</t>
  </si>
  <si>
    <t>T1902</t>
  </si>
  <si>
    <t>T1903</t>
  </si>
  <si>
    <t>T1904</t>
  </si>
  <si>
    <t>T1905</t>
  </si>
  <si>
    <t>T1906</t>
  </si>
  <si>
    <t>T1907</t>
  </si>
  <si>
    <t>T1908</t>
  </si>
  <si>
    <t>T1909</t>
  </si>
  <si>
    <t>T1910</t>
  </si>
  <si>
    <t>T1911</t>
  </si>
  <si>
    <t>T1912</t>
  </si>
  <si>
    <t>T1913</t>
  </si>
  <si>
    <t>T1914</t>
  </si>
  <si>
    <t>T1915</t>
  </si>
  <si>
    <t>T1916</t>
  </si>
  <si>
    <t>T1917</t>
  </si>
  <si>
    <t>T1918</t>
  </si>
  <si>
    <t>T1919</t>
  </si>
  <si>
    <t>T1920</t>
  </si>
  <si>
    <t>T1921</t>
  </si>
  <si>
    <t>T1922</t>
  </si>
  <si>
    <t>T1923</t>
  </si>
  <si>
    <t>T1924</t>
  </si>
  <si>
    <t>T1925</t>
  </si>
  <si>
    <t>T1926</t>
  </si>
  <si>
    <t>T1927</t>
  </si>
  <si>
    <t>T1928</t>
  </si>
  <si>
    <t>T1929</t>
  </si>
  <si>
    <t>T1930</t>
  </si>
  <si>
    <t>T1931</t>
  </si>
  <si>
    <t>T1932</t>
  </si>
  <si>
    <t>T1933</t>
  </si>
  <si>
    <t>T1934</t>
  </si>
  <si>
    <t>T1935</t>
  </si>
  <si>
    <t>T1936</t>
  </si>
  <si>
    <t>T1937</t>
  </si>
  <si>
    <t>T1938</t>
  </si>
  <si>
    <t>T1939</t>
  </si>
  <si>
    <t>T1940</t>
  </si>
  <si>
    <t>T1941</t>
  </si>
  <si>
    <t>T1942</t>
  </si>
  <si>
    <t>T1943</t>
  </si>
  <si>
    <t>T1944</t>
  </si>
  <si>
    <t>T1945</t>
  </si>
  <si>
    <t>T1946</t>
  </si>
  <si>
    <t>T1947</t>
  </si>
  <si>
    <t>T1948</t>
  </si>
  <si>
    <t>T1949</t>
  </si>
  <si>
    <t>T1950</t>
  </si>
  <si>
    <t>T1951</t>
  </si>
  <si>
    <t>T1952</t>
  </si>
  <si>
    <t>T1953</t>
  </si>
  <si>
    <t>T1954</t>
  </si>
  <si>
    <t>T1955</t>
  </si>
  <si>
    <t>T1956</t>
  </si>
  <si>
    <t>T1957</t>
  </si>
  <si>
    <t>T1958</t>
  </si>
  <si>
    <t>T1959</t>
  </si>
  <si>
    <t>T1960</t>
  </si>
  <si>
    <t>T1961</t>
  </si>
  <si>
    <t>T1962</t>
  </si>
  <si>
    <t>T1963</t>
  </si>
  <si>
    <t>T1964</t>
  </si>
  <si>
    <t>T1965</t>
  </si>
  <si>
    <t>T1966</t>
  </si>
  <si>
    <t>T1967</t>
  </si>
  <si>
    <t>T1968</t>
  </si>
  <si>
    <t>T1969</t>
  </si>
  <si>
    <t>T1970</t>
  </si>
  <si>
    <t>T1971</t>
  </si>
  <si>
    <t>T1972</t>
  </si>
  <si>
    <t>T1973</t>
  </si>
  <si>
    <t>T1974</t>
  </si>
  <si>
    <t>T1975</t>
  </si>
  <si>
    <t>T1976</t>
  </si>
  <si>
    <t>T1977</t>
  </si>
  <si>
    <t>T1978</t>
  </si>
  <si>
    <t>T1979</t>
  </si>
  <si>
    <t>T1980</t>
  </si>
  <si>
    <t>T1981</t>
  </si>
  <si>
    <t>T1982</t>
  </si>
  <si>
    <t>T1983</t>
  </si>
  <si>
    <t>T1984</t>
  </si>
  <si>
    <t>T1985</t>
  </si>
  <si>
    <t>T1986</t>
  </si>
  <si>
    <t>T1987</t>
  </si>
  <si>
    <t>T1988</t>
  </si>
  <si>
    <t>T1989</t>
  </si>
  <si>
    <t>T1990</t>
  </si>
  <si>
    <t>T1991</t>
  </si>
  <si>
    <t>T1992</t>
  </si>
  <si>
    <t>T1993</t>
  </si>
  <si>
    <t>T1994</t>
  </si>
  <si>
    <t>T1995</t>
  </si>
  <si>
    <t>T1996</t>
  </si>
  <si>
    <t>T1997</t>
  </si>
  <si>
    <t>T1998</t>
  </si>
  <si>
    <t>T1999</t>
  </si>
  <si>
    <t>T2000</t>
  </si>
  <si>
    <t>T2001</t>
  </si>
  <si>
    <t>T2002</t>
  </si>
  <si>
    <t>T2003</t>
  </si>
  <si>
    <t>T2004</t>
  </si>
  <si>
    <t>T2005</t>
  </si>
  <si>
    <t>T2006</t>
  </si>
  <si>
    <t>T2007</t>
  </si>
  <si>
    <t>T2008</t>
  </si>
  <si>
    <t>T2009</t>
  </si>
  <si>
    <t>T2010</t>
  </si>
  <si>
    <t>T2011</t>
  </si>
  <si>
    <t>T2012</t>
  </si>
  <si>
    <t>T2013</t>
  </si>
  <si>
    <t>T2014</t>
  </si>
  <si>
    <t>T2015</t>
  </si>
  <si>
    <t>T2016</t>
  </si>
  <si>
    <t>T2017</t>
  </si>
  <si>
    <t>T2018</t>
  </si>
  <si>
    <t>T2019</t>
  </si>
  <si>
    <t>T2020</t>
  </si>
  <si>
    <t>T2021</t>
  </si>
  <si>
    <t>T2022</t>
  </si>
  <si>
    <t>T2023</t>
  </si>
  <si>
    <t>T2024</t>
  </si>
  <si>
    <t>T2025</t>
  </si>
  <si>
    <t>T2026</t>
  </si>
  <si>
    <t>T2027</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</si>
  <si>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</si>
  <si>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</si>
  <si>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</si>
  <si>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</si>
  <si>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</si>
  <si>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</si>
  <si>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</si>
  <si>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</si>
  <si>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</si>
  <si>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</si>
  <si>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</si>
  <si>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</si>
  <si>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</si>
  <si>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</si>
  <si>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</si>
  <si>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</si>
  <si>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</si>
  <si>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</si>
  <si>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</si>
  <si>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</si>
  <si>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</si>
  <si>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</si>
  <si>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T2050</t>
  </si>
  <si>
    <t>T2051</t>
  </si>
  <si>
    <t>T2052</t>
  </si>
  <si>
    <t>T2053</t>
  </si>
  <si>
    <t>T2054</t>
  </si>
  <si>
    <t>T2055</t>
  </si>
  <si>
    <t>T2056</t>
  </si>
  <si>
    <t>T2057</t>
  </si>
  <si>
    <t>T2058</t>
  </si>
  <si>
    <t>T2059</t>
  </si>
  <si>
    <t>T2060</t>
  </si>
  <si>
    <t>T2061</t>
  </si>
  <si>
    <t>T2062</t>
  </si>
  <si>
    <t>T2063</t>
  </si>
  <si>
    <t>T2064</t>
  </si>
  <si>
    <t>T2065</t>
  </si>
  <si>
    <t>T2066</t>
  </si>
  <si>
    <t>T2067</t>
  </si>
  <si>
    <t>T2068</t>
  </si>
  <si>
    <t>T2069</t>
  </si>
  <si>
    <t>T2070</t>
  </si>
  <si>
    <t>T2071</t>
  </si>
  <si>
    <t>T2072</t>
  </si>
  <si>
    <t>T2073</t>
  </si>
  <si>
    <t>T2074</t>
  </si>
  <si>
    <t>T2075</t>
  </si>
  <si>
    <t>T2076</t>
  </si>
  <si>
    <t>T2077</t>
  </si>
  <si>
    <t>T2078</t>
  </si>
  <si>
    <t>T2079</t>
  </si>
  <si>
    <t>T2080</t>
  </si>
  <si>
    <t>T2081</t>
  </si>
  <si>
    <t>T2082</t>
  </si>
  <si>
    <t>T2083</t>
  </si>
  <si>
    <t>T2084</t>
  </si>
  <si>
    <t>T2085</t>
  </si>
  <si>
    <t>T2086</t>
  </si>
  <si>
    <t>T2087</t>
  </si>
  <si>
    <t>T2088</t>
  </si>
  <si>
    <t>T2089</t>
  </si>
  <si>
    <t>T2090</t>
  </si>
  <si>
    <t>T2091</t>
  </si>
  <si>
    <t>T2092</t>
  </si>
  <si>
    <t>T2093</t>
  </si>
  <si>
    <t>T2094</t>
  </si>
  <si>
    <t>T2095</t>
  </si>
  <si>
    <t>T2096</t>
  </si>
  <si>
    <t>T2097</t>
  </si>
  <si>
    <t>T2098</t>
  </si>
  <si>
    <t>T2099</t>
  </si>
  <si>
    <t>T2100</t>
  </si>
  <si>
    <t>T2101</t>
  </si>
  <si>
    <t>T2102</t>
  </si>
  <si>
    <t>T2103</t>
  </si>
  <si>
    <t>T2104</t>
  </si>
  <si>
    <t>T2105</t>
  </si>
  <si>
    <t>T2106</t>
  </si>
  <si>
    <t>T2107</t>
  </si>
  <si>
    <t>T2108</t>
  </si>
  <si>
    <t>T2109</t>
  </si>
  <si>
    <t>T2110</t>
  </si>
  <si>
    <t>T2111</t>
  </si>
  <si>
    <t>T2112</t>
  </si>
  <si>
    <t>T2113</t>
  </si>
  <si>
    <t>T2114</t>
  </si>
  <si>
    <t>T2115</t>
  </si>
  <si>
    <t>T2116</t>
  </si>
  <si>
    <t>T2117</t>
  </si>
  <si>
    <t>T2118</t>
  </si>
  <si>
    <t>T2119</t>
  </si>
  <si>
    <t>T2120</t>
  </si>
  <si>
    <t>T2121</t>
  </si>
  <si>
    <t>T2122</t>
  </si>
  <si>
    <t>T2123</t>
  </si>
  <si>
    <t>T2124</t>
  </si>
  <si>
    <t>T2125</t>
  </si>
  <si>
    <t>T2126</t>
  </si>
  <si>
    <t>T2127</t>
  </si>
  <si>
    <t>T2128</t>
  </si>
  <si>
    <t>T2129</t>
  </si>
  <si>
    <t>T2130</t>
  </si>
  <si>
    <t>T2131</t>
  </si>
  <si>
    <t>T2132</t>
  </si>
  <si>
    <t>T2133</t>
  </si>
  <si>
    <t>T2134</t>
  </si>
  <si>
    <t>T2135</t>
  </si>
  <si>
    <t>T2136</t>
  </si>
  <si>
    <t>T2137</t>
  </si>
  <si>
    <t>T2138</t>
  </si>
  <si>
    <t>T2139</t>
  </si>
  <si>
    <t>T2140</t>
  </si>
  <si>
    <t>T2141</t>
  </si>
  <si>
    <t>T2142</t>
  </si>
  <si>
    <t>T2143</t>
  </si>
  <si>
    <t>T2144</t>
  </si>
  <si>
    <t>T2145</t>
  </si>
  <si>
    <t>T2146</t>
  </si>
  <si>
    <t>T2147</t>
  </si>
  <si>
    <t>T2148</t>
  </si>
  <si>
    <t>T2149</t>
  </si>
  <si>
    <t>T2150</t>
  </si>
  <si>
    <t>T2151</t>
  </si>
  <si>
    <t>T2152</t>
  </si>
  <si>
    <t>T2153</t>
  </si>
  <si>
    <t>T2154</t>
  </si>
  <si>
    <t>T2155</t>
  </si>
  <si>
    <t>T2156</t>
  </si>
  <si>
    <t>T2157</t>
  </si>
  <si>
    <t>T2158</t>
  </si>
  <si>
    <t>T2159</t>
  </si>
  <si>
    <t>T2160</t>
  </si>
  <si>
    <t>T2161</t>
  </si>
  <si>
    <t>T2162</t>
  </si>
  <si>
    <t>T2163</t>
  </si>
  <si>
    <t>T2164</t>
  </si>
  <si>
    <t>T2165</t>
  </si>
  <si>
    <t>T2166</t>
  </si>
  <si>
    <t>T2167</t>
  </si>
  <si>
    <t>T2168</t>
  </si>
  <si>
    <t>T2169</t>
  </si>
  <si>
    <t>T2170</t>
  </si>
  <si>
    <t>T2171</t>
  </si>
  <si>
    <t>T2172</t>
  </si>
  <si>
    <t>T2173</t>
  </si>
  <si>
    <t>T2174</t>
  </si>
  <si>
    <t>T2175</t>
  </si>
  <si>
    <t>T2176</t>
  </si>
  <si>
    <t>T2177</t>
  </si>
  <si>
    <t>T2178</t>
  </si>
  <si>
    <t>T2179</t>
  </si>
  <si>
    <t>T2180</t>
  </si>
  <si>
    <t>T2181</t>
  </si>
  <si>
    <t>T2182</t>
  </si>
  <si>
    <t>T2183</t>
  </si>
  <si>
    <t>T2184</t>
  </si>
  <si>
    <t>T2185</t>
  </si>
  <si>
    <t>T2186</t>
  </si>
  <si>
    <t>T2187</t>
  </si>
  <si>
    <t>T2188</t>
  </si>
  <si>
    <t>T2189</t>
  </si>
  <si>
    <t>T2190</t>
  </si>
  <si>
    <t>T2191</t>
  </si>
  <si>
    <t>T2192</t>
  </si>
  <si>
    <t>T2193</t>
  </si>
  <si>
    <t>T2194</t>
  </si>
  <si>
    <t>T2195</t>
  </si>
  <si>
    <t>T2196</t>
  </si>
  <si>
    <t>T2197</t>
  </si>
  <si>
    <t>T2198</t>
  </si>
  <si>
    <t>T2199</t>
  </si>
  <si>
    <t>Metric Name</t>
  </si>
  <si>
    <t>Value</t>
  </si>
  <si>
    <t>Description / Interpretation</t>
  </si>
  <si>
    <t>Total Trips Analyzed</t>
  </si>
  <si>
    <t>Total Ridership</t>
  </si>
  <si>
    <t>Average Boardings per Trip</t>
  </si>
  <si>
    <t>Median Boardings</t>
  </si>
  <si>
    <t>Boarding Std Deviation</t>
  </si>
  <si>
    <t>Average Delay (Minutes)</t>
  </si>
  <si>
    <t>Max Delay Recorded</t>
  </si>
  <si>
    <t>Weekday Average Ridership</t>
  </si>
  <si>
    <t xml:space="preserve"> Weekend Average Ridership</t>
  </si>
  <si>
    <t>1,200 total scheduled trips analyzed</t>
  </si>
  <si>
    <t>Total passenger volume across the network</t>
  </si>
  <si>
    <t>Average passenger load per bus run</t>
  </si>
  <si>
    <t>Baseline median trip demand</t>
  </si>
  <si>
    <t>Ridership variability across trips</t>
  </si>
  <si>
    <t>Network-wide operational average delay</t>
  </si>
  <si>
    <t>Maximum operational bottleneck delay</t>
  </si>
  <si>
    <t>Average demand during regular working weekdays</t>
  </si>
  <si>
    <t>Average demand during weekend schedules</t>
  </si>
  <si>
    <t>Row Labels</t>
  </si>
  <si>
    <t>Grand Total</t>
  </si>
  <si>
    <t>Sum of total_boardings</t>
  </si>
  <si>
    <t>Average of total_boardings</t>
  </si>
  <si>
    <t>Average of delay_minutes</t>
  </si>
  <si>
    <t>TOTAL TRIPS</t>
  </si>
  <si>
    <t>TOTAL RIDERSHIP</t>
  </si>
  <si>
    <t>AVG BOARDINGS / TRIP</t>
  </si>
  <si>
    <t>AVG DELAY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</si>
</sst>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F400]h:mm:ss\ AM/PM"/>
    <numFmt numFmtId="170" formatCode="_ * #,##0.0_ ;_ * \-#,##0.0_ ;_ * &quot;-&quot;??_ ;_ @_ "/>
  </numFmts>
  <fonts count="4">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0" xfId="0" applyNumberFormat="1"/>
    <xf numFmtId="14" fontId="0" fillId="0" borderId="0" xfId="0" applyNumberFormat="1"/>
    <xf numFmtId="164" fontId="0" fillId="0" borderId="0" xfId="0" applyNumberFormat="1"/>
    <xf numFmtId="0" fontId="3" fillId="0" borderId="0" xfId="0" applyFont="1"/>
    <xf numFmtId="170" fontId="0" fillId="0" borderId="0" xfId="1" applyNumberFormat="1" applyFont="1"/>
    <xf numFmtId="2"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2" fontId="0" fillId="0" borderId="0" xfId="0" applyNumberFormat="1" applyAlignment="1">
      <alignment horizontal="center"/>
    </xf>
  </cellXfs>
  <cellStyles count="2">
    <cellStyle name="Comma" xfId="1" builtinId="3"/>
    <cellStyle name="Normal" xfId="0" builtinId="0"/>
  </cellStyles>
  <dxfs count="7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4" formatCode="0.000"/>
    </dxf>
    <dxf>
      <numFmt numFmtId="2" formatCode="0.00"/>
    </dxf>
    <dxf>
      <numFmt numFmtId="174" formatCode="0.000"/>
    </dxf>
    <dxf>
      <numFmt numFmtId="173" formatCode="0.0000"/>
    </dxf>
    <dxf>
      <numFmt numFmtId="173" formatCode="0.0000"/>
    </dxf>
    <dxf>
      <numFmt numFmtId="172" formatCode="0.00000"/>
    </dxf>
    <dxf>
      <numFmt numFmtId="172" formatCode="0.00000"/>
    </dxf>
    <dxf>
      <numFmt numFmtId="171" formatCode="0.000000"/>
    </dxf>
    <dxf>
      <numFmt numFmtId="171" formatCode="0.000000"/>
    </dxf>
    <dxf>
      <numFmt numFmtId="174" formatCode="0.000"/>
    </dxf>
    <dxf>
      <numFmt numFmtId="2" formatCode="0.00"/>
    </dxf>
    <dxf>
      <numFmt numFmtId="174" formatCode="0.000"/>
    </dxf>
    <dxf>
      <numFmt numFmtId="173" formatCode="0.0000"/>
    </dxf>
    <dxf>
      <numFmt numFmtId="173" formatCode="0.0000"/>
    </dxf>
    <dxf>
      <numFmt numFmtId="172" formatCode="0.00000"/>
    </dxf>
    <dxf>
      <numFmt numFmtId="172" formatCode="0.00000"/>
    </dxf>
    <dxf>
      <numFmt numFmtId="171" formatCode="0.000000"/>
    </dxf>
    <dxf>
      <numFmt numFmtId="171" formatCode="0.000000"/>
    </dxf>
    <dxf>
      <numFmt numFmtId="176" formatCode="0.0000000"/>
    </dxf>
    <dxf>
      <numFmt numFmtId="176" formatCode="0.0000000"/>
    </dxf>
    <dxf>
      <numFmt numFmtId="2" formatCode="0.00"/>
    </dxf>
    <dxf>
      <numFmt numFmtId="174" formatCode="0.000"/>
    </dxf>
    <dxf>
      <numFmt numFmtId="173" formatCode="0.0000"/>
    </dxf>
    <dxf>
      <numFmt numFmtId="172" formatCode="0.00000"/>
    </dxf>
    <dxf>
      <numFmt numFmtId="171" formatCode="0.000000"/>
    </dxf>
    <dxf>
      <numFmt numFmtId="174" formatCode="0.000"/>
    </dxf>
    <dxf>
      <numFmt numFmtId="2" formatCode="0.00"/>
    </dxf>
    <dxf>
      <numFmt numFmtId="174" formatCode="0.000"/>
    </dxf>
    <dxf>
      <numFmt numFmtId="173" formatCode="0.0000"/>
    </dxf>
    <dxf>
      <numFmt numFmtId="173" formatCode="0.0000"/>
    </dxf>
    <dxf>
      <numFmt numFmtId="172" formatCode="0.00000"/>
    </dxf>
    <dxf>
      <numFmt numFmtId="172" formatCode="0.00000"/>
    </dxf>
    <dxf>
      <numFmt numFmtId="171" formatCode="0.000000"/>
    </dxf>
    <dxf>
      <numFmt numFmtId="171" formatCode="0.000000"/>
    </dxf>
    <dxf>
      <numFmt numFmtId="176" formatCode="0.0000000"/>
    </dxf>
    <dxf>
      <numFmt numFmtId="176" formatCode="0.0000000"/>
    </dxf>
    <dxf>
      <numFmt numFmtId="175" formatCode="0.00000000"/>
    </dxf>
    <dxf>
      <numFmt numFmtId="175" formatCode="0.00000000"/>
    </dxf>
    <dxf>
      <numFmt numFmtId="174" formatCode="0.000"/>
    </dxf>
    <dxf>
      <numFmt numFmtId="2" formatCode="0.00"/>
    </dxf>
    <dxf>
      <numFmt numFmtId="173" formatCode="0.0000"/>
    </dxf>
    <dxf>
      <numFmt numFmtId="172" formatCode="0.00000"/>
    </dxf>
    <dxf>
      <numFmt numFmtId="171" formatCode="0.000000"/>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[DS-SAT-2.xlsx]Pivot_Analysis!PivotTable1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Passenger Demand by Route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Pivot_Analysis!$A$4:$A$9</c:f>
              <c:strCache>
                <c:ptCount val="5"/>
                <c:pt idx="0">
                  <c:v>R101</c:v>
                </c:pt>
                <c:pt idx="1">
                  <c:v>R102</c:v>
                </c:pt>
                <c:pt idx="2">
                  <c:v>R103</c:v>
                </c:pt>
                <c:pt idx="3">
                  <c:v>R104</c:v>
                </c:pt>
                <c:pt idx="4">
                  <c:v>R105</c:v>
                </c:pt>
              </c:strCache>
            </c:strRef>
          </c:cat>
          <c:val>
            <c:numRef>
              <c:f>Pivot_Analysis!$B$4:$B$9</c:f>
              <c:numCache>
                <c:formatCode>General</c:formatCode>
                <c:ptCount val="5"/>
                <c:pt idx="0">
                  <c:v>37262</c:v>
                </c:pt>
                <c:pt idx="1">
                  <c:v>34029</c:v>
                </c:pt>
                <c:pt idx="2">
                  <c:v>19408</c:v>
                </c:pt>
                <c:pt idx="3">
                  <c:v>18136</c:v>
                </c:pt>
                <c:pt idx="4">
                  <c:v>17122</c:v>
                </c:pt>
              </c:numCache>
            </c:numRef>
          </c:val>
          <c:extLst>
            <c:ext xmlns:c16="http://schemas.microsoft.com/office/drawing/2014/chart" uri="{C3380CC4-5D6E-409C-BE32-E72D297353CC}">
              <c16:uniqueId val="{00000000-D0EB-4623-AF41-ECA931C1A142}"/>
            </c:ext>
          </c:extLst>
        </c:ser>
        <c:dLbls>
          <c:showLegendKey val="0"/>
          <c:showVal val="0"/>
          <c:showCatName val="0"/>
          <c:showSerName val="0"/>
          <c:showPercent val="0"/>
          <c:showBubbleSize val="0"/>
        </c:dLbls>
        <c:gapWidth val="219"/>
        <c:overlap val="-27"/>
        <c:axId val="1373395951"/>
        <c:axId val="1486685359"/>
      </c:barChart>
      <c:catAx>
        <c:axId val="137339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85359"/>
        <c:crosses val="autoZero"/>
        <c:auto val="1"/>
        <c:lblAlgn val="ctr"/>
        <c:lblOffset val="100"/>
        <c:noMultiLvlLbl val="0"/>
      </c:catAx>
      <c:valAx>
        <c:axId val="148668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9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[DS-SAT-2.xlsx]Pivot_Analysis!PivotTable2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Hourly Travel Demand Curve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26328484981044037"/>
          <c:w val="0.73696019247594047"/>
          <c:h val="0.53811424613589964"/>
        </c:manualLayout>
      </c:layout>
      <c:lineChart>
        <c:grouping val="standard"/>
        <c:varyColors val="0"/>
        <c:ser>
          <c:idx val="0"/>
          <c:order val="0"/>
          <c:tx>
            <c:strRef>
              <c:f>Pivot_Analysis!$F$3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Pivot_Analysis!$E$4:$E$22</c:f>
              <c:strCache>
                <c:ptCount val="18"/>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strCache>
            </c:strRef>
          </c:cat>
          <c:val>
            <c:numRef>
              <c:f>Pivot_Analysis!$F$4:$F$22</c:f>
              <c:numCache>
                <c:formatCode>0.00</c:formatCode>
                <c:ptCount val="18"/>
                <c:pt idx="0">
                  <c:v>95.120689655172413</c:v>
                </c:pt>
                <c:pt idx="1">
                  <c:v>106.81944444444444</c:v>
                </c:pt>
                <c:pt idx="2">
                  <c:v>107.72857142857143</c:v>
                </c:pt>
                <c:pt idx="3">
                  <c:v>109.08333333333333</c:v>
                </c:pt>
                <c:pt idx="4">
                  <c:v>102.95652173913044</c:v>
                </c:pt>
                <c:pt idx="5">
                  <c:v>111.81967213114754</c:v>
                </c:pt>
                <c:pt idx="6">
                  <c:v>93.827586206896555</c:v>
                </c:pt>
                <c:pt idx="7">
                  <c:v>112.51470588235294</c:v>
                </c:pt>
                <c:pt idx="8">
                  <c:v>107.13698630136986</c:v>
                </c:pt>
                <c:pt idx="9">
                  <c:v>108.62711864406779</c:v>
                </c:pt>
                <c:pt idx="10">
                  <c:v>105.19354838709677</c:v>
                </c:pt>
                <c:pt idx="11">
                  <c:v>105.49350649350649</c:v>
                </c:pt>
                <c:pt idx="12">
                  <c:v>101.68571428571428</c:v>
                </c:pt>
                <c:pt idx="13">
                  <c:v>96.121212121212125</c:v>
                </c:pt>
                <c:pt idx="14">
                  <c:v>105.85</c:v>
                </c:pt>
                <c:pt idx="15">
                  <c:v>109.06779661016949</c:v>
                </c:pt>
                <c:pt idx="16">
                  <c:v>101.70967741935483</c:v>
                </c:pt>
                <c:pt idx="17">
                  <c:v>106.09375</c:v>
                </c:pt>
              </c:numCache>
            </c:numRef>
          </c:val>
          <c:smooth val="0"/>
          <c:extLst>
            <c:ext xmlns:c16="http://schemas.microsoft.com/office/drawing/2014/chart" uri="{C3380CC4-5D6E-409C-BE32-E72D297353CC}">
              <c16:uniqueId val="{00000000-0D8D-44FF-BF08-55B66B192104}"/>
            </c:ext>
          </c:extLst>
        </c:ser>
        <c:dLbls>
          <c:showLegendKey val="0"/>
          <c:showVal val="0"/>
          <c:showCatName val="0"/>
          <c:showSerName val="0"/>
          <c:showPercent val="0"/>
          <c:showBubbleSize val="0"/>
        </c:dLbls>
        <c:marker val="1"/>
        <c:smooth val="0"/>
        <c:axId val="1978358719"/>
        <c:axId val="1486643119"/>
      </c:lineChart>
      <c:catAx>
        <c:axId val="197835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43119"/>
        <c:crosses val="autoZero"/>
        <c:auto val="1"/>
        <c:lblAlgn val="ctr"/>
        <c:lblOffset val="100"/>
        <c:noMultiLvlLbl val="0"/>
      </c:catAx>
      <c:valAx>
        <c:axId val="1486643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5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[DS-SAT-2.xlsx]Pivot_Analysis!PivotTable3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Passenger Demand by Corridor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Pivot_Analysis!$J$3</c:f>
              <c:strCache>
                <c:ptCount val="1"/>
                <c:pt idx="0">
                  <c:v>Total</c:v>
                </c:pt>
              </c:strCache>
            </c:strRef>
          </c:tx>
          <c:spPr>
            <a:solidFill>
              <a:schemeClr val="accent1"/>
            </a:solidFill>
            <a:ln>
              <a:noFill/>
            </a:ln>
            <a:effectLst/>
          </c:spPr>
          <c:invertIfNegative val="0"/>
          <c:cat>
            <c:strRef>
              <c:f>Pivot_Analysis!$I$4:$I$9</c:f>
              <c:strCache>
                <c:ptCount val="5"/>
                <c:pt idx="0">
                  <c:v>Central</c:v>
                </c:pt>
                <c:pt idx="1">
                  <c:v>East Express</c:v>
                </c:pt>
                <c:pt idx="2">
                  <c:v>North-South</c:v>
                </c:pt>
                <c:pt idx="3">
                  <c:v>South-East</c:v>
                </c:pt>
                <c:pt idx="4">
                  <c:v>West-East</c:v>
                </c:pt>
              </c:strCache>
            </c:strRef>
          </c:cat>
          <c:val>
            <c:numRef>
              <c:f>Pivot_Analysis!$J$4:$J$9</c:f>
              <c:numCache>
                <c:formatCode>General</c:formatCode>
                <c:ptCount val="5"/>
                <c:pt idx="0">
                  <c:v>19408</c:v>
                </c:pt>
                <c:pt idx="1">
                  <c:v>34029</c:v>
                </c:pt>
                <c:pt idx="2">
                  <c:v>37262</c:v>
                </c:pt>
                <c:pt idx="3">
                  <c:v>17122</c:v>
                </c:pt>
                <c:pt idx="4">
                  <c:v>18136</c:v>
                </c:pt>
              </c:numCache>
            </c:numRef>
          </c:val>
          <c:extLst>
            <c:ext xmlns:c16="http://schemas.microsoft.com/office/drawing/2014/chart" uri="{C3380CC4-5D6E-409C-BE32-E72D297353CC}">
              <c16:uniqueId val="{00000000-3ABB-4DF7-BB2A-72C30366A323}"/>
            </c:ext>
          </c:extLst>
        </c:ser>
        <c:dLbls>
          <c:showLegendKey val="0"/>
          <c:showVal val="0"/>
          <c:showCatName val="0"/>
          <c:showSerName val="0"/>
          <c:showPercent val="0"/>
          <c:showBubbleSize val="0"/>
        </c:dLbls>
        <c:gapWidth val="182"/>
        <c:axId val="1978396303"/>
        <c:axId val="1486686799"/>
      </c:barChart>
      <c:catAx>
        <c:axId val="1978396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86799"/>
        <c:crosses val="autoZero"/>
        <c:auto val="1"/>
        <c:lblAlgn val="ctr"/>
        <c:lblOffset val="100"/>
        <c:noMultiLvlLbl val="0"/>
      </c:catAx>
      <c:valAx>
        <c:axId val="148668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9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[DS-SAT-2.xlsx]Pivot_Analysis!PivotTable4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Weekday vs Weekend Average Demand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Pivot_Analysis!$B$18</c:f>
              <c:strCache>
                <c:ptCount val="1"/>
                <c:pt idx="0">
                  <c:v>Total</c:v>
                </c:pt>
              </c:strCache>
            </c:strRef>
          </c:tx>
          <c:spPr>
            <a:solidFill>
              <a:schemeClr val="accent1"/>
            </a:solidFill>
            <a:ln>
              <a:noFill/>
            </a:ln>
            <a:effectLst/>
          </c:spPr>
          <c:invertIfNegative val="0"/>
          <c:cat>
            <c:strRef>
              <c:f>Pivot_Analysis!$A$19:$A$26</c:f>
              <c:strCache>
                <c:ptCount val="7"/>
                <c:pt idx="0">
                  <c:v>Sunday</c:v>
                </c:pt>
                <c:pt idx="1">
                  <c:v>Monday</c:v>
                </c:pt>
                <c:pt idx="2">
                  <c:v>Tuesday</c:v>
                </c:pt>
                <c:pt idx="3">
                  <c:v>Wednesday</c:v>
                </c:pt>
                <c:pt idx="4">
                  <c:v>Thursday</c:v>
                </c:pt>
                <c:pt idx="5">
                  <c:v>Friday</c:v>
                </c:pt>
                <c:pt idx="6">
                  <c:v>Saturday</c:v>
                </c:pt>
              </c:strCache>
            </c:strRef>
          </c:cat>
          <c:val>
            <c:numRef>
              <c:f>Pivot_Analysis!$B$19:$B$26</c:f>
              <c:numCache>
                <c:formatCode>0.00</c:formatCode>
                <c:ptCount val="7"/>
                <c:pt idx="0">
                  <c:v>103.6441717791411</c:v>
                </c:pt>
                <c:pt idx="1">
                  <c:v>107.25170068027211</c:v>
                </c:pt>
                <c:pt idx="2">
                  <c:v>106.88340807174887</c:v>
                </c:pt>
                <c:pt idx="3">
                  <c:v>104.38797814207651</c:v>
                </c:pt>
                <c:pt idx="4">
                  <c:v>105.38271604938272</c:v>
                </c:pt>
                <c:pt idx="5">
                  <c:v>98.28025477707007</c:v>
                </c:pt>
                <c:pt idx="6">
                  <c:v>108.22424242424242</c:v>
                </c:pt>
              </c:numCache>
            </c:numRef>
          </c:val>
          <c:extLst>
            <c:ext xmlns:c16="http://schemas.microsoft.com/office/drawing/2014/chart" uri="{C3380CC4-5D6E-409C-BE32-E72D297353CC}">
              <c16:uniqueId val="{00000000-2684-41B8-A77E-0D0350CE593B}"/>
            </c:ext>
          </c:extLst>
        </c:ser>
        <c:dLbls>
          <c:showLegendKey val="0"/>
          <c:showVal val="0"/>
          <c:showCatName val="0"/>
          <c:showSerName val="0"/>
          <c:showPercent val="0"/>
          <c:showBubbleSize val="0"/>
        </c:dLbls>
        <c:gapWidth val="219"/>
        <c:overlap val="-27"/>
        <c:axId val="863526383"/>
        <c:axId val="1486740559"/>
      </c:barChart>
      <c:catAx>
        <c:axId val="86352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740559"/>
        <c:crosses val="autoZero"/>
        <c:auto val="1"/>
        <c:lblAlgn val="ctr"/>
        <c:lblOffset val="100"/>
        <c:noMultiLvlLbl val="0"/>
      </c:catAx>
      <c:valAx>
        <c:axId val="1486740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2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[DS-SAT-2.xlsx]Pivot_Analysis!PivotTable5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Operational Delays by Route (Min)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Pivot_Analysis!$B$35</c:f>
              <c:strCache>
                <c:ptCount val="1"/>
                <c:pt idx="0">
                  <c:v>Total</c:v>
                </c:pt>
              </c:strCache>
            </c:strRef>
          </c:tx>
          <c:spPr>
            <a:solidFill>
              <a:schemeClr val="accent1"/>
            </a:solidFill>
            <a:ln>
              <a:noFill/>
            </a:ln>
            <a:effectLst/>
          </c:spPr>
          <c:invertIfNegative val="0"/>
          <c:cat>
            <c:strRef>
              <c:f>Pivot_Analysis!$A$36:$A$41</c:f>
              <c:strCache>
                <c:ptCount val="5"/>
                <c:pt idx="0">
                  <c:v>R101</c:v>
                </c:pt>
                <c:pt idx="1">
                  <c:v>R102</c:v>
                </c:pt>
                <c:pt idx="2">
                  <c:v>R103</c:v>
                </c:pt>
                <c:pt idx="3">
                  <c:v>R104</c:v>
                </c:pt>
                <c:pt idx="4">
                  <c:v>R105</c:v>
                </c:pt>
              </c:strCache>
            </c:strRef>
          </c:cat>
          <c:val>
            <c:numRef>
              <c:f>Pivot_Analysis!$B$36:$B$41</c:f>
              <c:numCache>
                <c:formatCode>0.00</c:formatCode>
                <c:ptCount val="5"/>
                <c:pt idx="0">
                  <c:v>5.628571428571429</c:v>
                </c:pt>
                <c:pt idx="1">
                  <c:v>4.9233038348082596</c:v>
                </c:pt>
                <c:pt idx="2">
                  <c:v>5.3218390804597702</c:v>
                </c:pt>
                <c:pt idx="3">
                  <c:v>5.5892857142857144</c:v>
                </c:pt>
                <c:pt idx="4">
                  <c:v>5.0295857988165684</c:v>
                </c:pt>
              </c:numCache>
            </c:numRef>
          </c:val>
          <c:extLst>
            <c:ext xmlns:c16="http://schemas.microsoft.com/office/drawing/2014/chart" uri="{C3380CC4-5D6E-409C-BE32-E72D297353CC}">
              <c16:uniqueId val="{00000000-E6B4-4D48-97DC-1C7CD016778C}"/>
            </c:ext>
          </c:extLst>
        </c:ser>
        <c:dLbls>
          <c:showLegendKey val="0"/>
          <c:showVal val="0"/>
          <c:showCatName val="0"/>
          <c:showSerName val="0"/>
          <c:showPercent val="0"/>
          <c:showBubbleSize val="0"/>
        </c:dLbls>
        <c:gapWidth val="182"/>
        <c:axId val="863552831"/>
        <c:axId val="1486683919"/>
      </c:barChart>
      <c:catAx>
        <c:axId val="86355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83919"/>
        <c:crosses val="autoZero"/>
        <c:auto val="1"/>
        <c:lblAlgn val="ctr"/>
        <c:lblOffset val="100"/>
        <c:noMultiLvlLbl val="0"/>
      </c:catAx>
      <c:valAx>
        <c:axId val="14866839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5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[DS-SAT-2.xlsx]Pivot_Analysis!PivotTable6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Impact of Events on Passenger Boardings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Pivot_Analysis!$F$29</c:f>
              <c:strCache>
                <c:ptCount val="1"/>
                <c:pt idx="0">
                  <c:v>Total</c:v>
                </c:pt>
              </c:strCache>
            </c:strRef>
          </c:tx>
          <c:spPr>
            <a:solidFill>
              <a:schemeClr val="accent1"/>
            </a:solidFill>
            <a:ln>
              <a:noFill/>
            </a:ln>
            <a:effectLst/>
          </c:spPr>
          <c:invertIfNegative val="0"/>
          <c:cat>
            <c:strRef>
              <c:f>Pivot_Analysis!$E$30:$E$32</c:f>
              <c:strCache>
                <c:ptCount val="2"/>
                <c:pt idx="0">
                  <c:v>0</c:v>
                </c:pt>
                <c:pt idx="1">
                  <c:v>1</c:v>
                </c:pt>
              </c:strCache>
            </c:strRef>
          </c:cat>
          <c:val>
            <c:numRef>
              <c:f>Pivot_Analysis!$F$30:$F$32</c:f>
              <c:numCache>
                <c:formatCode>0.00</c:formatCode>
                <c:ptCount val="2"/>
                <c:pt idx="0">
                  <c:v>105.46982358402971</c:v>
                </c:pt>
                <c:pt idx="1">
                  <c:v>100.53658536585365</c:v>
                </c:pt>
              </c:numCache>
            </c:numRef>
          </c:val>
          <c:extLst>
            <c:ext xmlns:c16="http://schemas.microsoft.com/office/drawing/2014/chart" uri="{C3380CC4-5D6E-409C-BE32-E72D297353CC}">
              <c16:uniqueId val="{00000000-14A1-421D-957D-7B00C94850A2}"/>
            </c:ext>
          </c:extLst>
        </c:ser>
        <c:dLbls>
          <c:showLegendKey val="0"/>
          <c:showVal val="0"/>
          <c:showCatName val="0"/>
          <c:showSerName val="0"/>
          <c:showPercent val="0"/>
          <c:showBubbleSize val="0"/>
        </c:dLbls>
        <c:gapWidth val="219"/>
        <c:overlap val="-27"/>
        <c:axId val="1978376815"/>
        <c:axId val="1056828719"/>
      </c:barChart>
      <c:catAx>
        <c:axId val="197837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28719"/>
        <c:crosses val="autoZero"/>
        <c:auto val="1"/>
        <c:lblAlgn val="ctr"/>
        <c:lblOffset val="100"/>
        <c:noMultiLvlLbl val="0"/>
      </c:catAx>
      <c:valAx>
        <c:axId val="1056828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7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11</xdr:col>
      <xdr:colOff>92785</xdr:colOff>
      <xdr:row>19</xdr:row>
      <xdr:rowOff>76201</xdr:rowOff>
    </xdr:to>
    <xdr:graphicFrame macro="">
      <xdr:nvGraphicFramePr>
        <xdr:cNvPr id="2" name="Chart 1">
          <a:extLst>
            <a:ext uri="{FF2B5EF4-FFF2-40B4-BE49-F238E27FC236}">
              <a16:creationId xmlns:a16="http://schemas.microsoft.com/office/drawing/2014/main" id="{A6156E8C-661E-450D-8ED2-BB6DEC5AB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5</xdr:row>
      <xdr:rowOff>0</xdr:rowOff>
    </xdr:from>
    <xdr:to>
      <xdr:col>19</xdr:col>
      <xdr:colOff>311487</xdr:colOff>
      <xdr:row>19</xdr:row>
      <xdr:rowOff>82884</xdr:rowOff>
    </xdr:to>
    <xdr:graphicFrame macro="">
      <xdr:nvGraphicFramePr>
        <xdr:cNvPr id="3" name="Chart 2">
          <a:extLst>
            <a:ext uri="{FF2B5EF4-FFF2-40B4-BE49-F238E27FC236}">
              <a16:creationId xmlns:a16="http://schemas.microsoft.com/office/drawing/2014/main" id="{95FA8F14-AB99-4DAC-B21B-80F429E4A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5</xdr:row>
      <xdr:rowOff>0</xdr:rowOff>
    </xdr:from>
    <xdr:to>
      <xdr:col>27</xdr:col>
      <xdr:colOff>382966</xdr:colOff>
      <xdr:row>19</xdr:row>
      <xdr:rowOff>82884</xdr:rowOff>
    </xdr:to>
    <xdr:graphicFrame macro="">
      <xdr:nvGraphicFramePr>
        <xdr:cNvPr id="4" name="Chart 3">
          <a:extLst>
            <a:ext uri="{FF2B5EF4-FFF2-40B4-BE49-F238E27FC236}">
              <a16:creationId xmlns:a16="http://schemas.microsoft.com/office/drawing/2014/main" id="{8537F24E-E407-4ED4-95FD-FA8A7BA2E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0</xdr:rowOff>
    </xdr:from>
    <xdr:to>
      <xdr:col>7</xdr:col>
      <xdr:colOff>375655</xdr:colOff>
      <xdr:row>35</xdr:row>
      <xdr:rowOff>176463</xdr:rowOff>
    </xdr:to>
    <xdr:graphicFrame macro="">
      <xdr:nvGraphicFramePr>
        <xdr:cNvPr id="5" name="Chart 4">
          <a:extLst>
            <a:ext uri="{FF2B5EF4-FFF2-40B4-BE49-F238E27FC236}">
              <a16:creationId xmlns:a16="http://schemas.microsoft.com/office/drawing/2014/main" id="{B3B4F227-2F50-4DB6-9013-F982F4C79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21</xdr:row>
      <xdr:rowOff>0</xdr:rowOff>
    </xdr:from>
    <xdr:to>
      <xdr:col>16</xdr:col>
      <xdr:colOff>375656</xdr:colOff>
      <xdr:row>35</xdr:row>
      <xdr:rowOff>176463</xdr:rowOff>
    </xdr:to>
    <xdr:graphicFrame macro="">
      <xdr:nvGraphicFramePr>
        <xdr:cNvPr id="6" name="Chart 5">
          <a:extLst>
            <a:ext uri="{FF2B5EF4-FFF2-40B4-BE49-F238E27FC236}">
              <a16:creationId xmlns:a16="http://schemas.microsoft.com/office/drawing/2014/main" id="{375755DE-575D-45B7-BB74-77C501FDE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21</xdr:row>
      <xdr:rowOff>0</xdr:rowOff>
    </xdr:from>
    <xdr:to>
      <xdr:col>25</xdr:col>
      <xdr:colOff>381295</xdr:colOff>
      <xdr:row>35</xdr:row>
      <xdr:rowOff>176464</xdr:rowOff>
    </xdr:to>
    <xdr:graphicFrame macro="">
      <xdr:nvGraphicFramePr>
        <xdr:cNvPr id="7" name="Chart 6">
          <a:extLst>
            <a:ext uri="{FF2B5EF4-FFF2-40B4-BE49-F238E27FC236}">
              <a16:creationId xmlns:a16="http://schemas.microsoft.com/office/drawing/2014/main" id="{15337E2C-9290-4676-B03D-3009E55DA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28</xdr:col>
      <xdr:colOff>296971</xdr:colOff>
      <xdr:row>19</xdr:row>
      <xdr:rowOff>174712</xdr:rowOff>
    </xdr:from>
    <xdr:to>
      <xdr:col>31</xdr:col>
      <xdr:colOff>286011</xdr:colOff>
      <xdr:row>33</xdr:row>
      <xdr:rowOff>101643</xdr:rowOff>
    </xdr:to>
    <mc:AlternateContent xmlns:mc="http://schemas.openxmlformats.org/markup-compatibility/2006">
      <mc:Choice xmlns:a14="http://schemas.microsoft.com/office/drawing/2010/main" Requires="a14">
        <xdr:graphicFrame macro="">
          <xdr:nvGraphicFramePr>
            <xdr:cNvPr id="8" name="route_id">
              <a:extLst>
                <a:ext uri="{FF2B5EF4-FFF2-40B4-BE49-F238E27FC236}">
                  <a16:creationId xmlns:a16="http://schemas.microsoft.com/office/drawing/2014/main" id="{6A305B98-D428-11CC-4946-04F7532D608B}"/>
                </a:ext>
              </a:extLst>
            </xdr:cNvPr>
            <xdr:cNvGraphicFramePr/>
          </xdr:nvGraphicFramePr>
          <xdr:xfrm>
            <a:off x="0" y="0"/>
            <a:ext cx="0" cy="0"/>
          </xdr:xfrm>
          <a:graphic>
            <a:graphicData uri="http://schemas.microsoft.com/office/drawing/2010/slicer">
              <sle:slicer xmlns:sle="http://schemas.microsoft.com/office/drawing/2010/slicer" name="route_id"/>
            </a:graphicData>
          </a:graphic>
        </xdr:graphicFrame>
      </mc:Choice>
      <mc:Fallback>
        <xdr:sp macro="" textlink="">
          <xdr:nvSpPr>
            <xdr:cNvPr id="0" name=""/>
            <xdr:cNvSpPr>
              <a:spLocks noTextEdit="1"/>
            </xdr:cNvSpPr>
          </xdr:nvSpPr>
          <xdr:spPr>
            <a:xfrm>
              <a:off x="19386115" y="3893376"/>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290447</xdr:colOff>
      <xdr:row>5</xdr:row>
      <xdr:rowOff>24660</xdr:rowOff>
    </xdr:from>
    <xdr:to>
      <xdr:col>31</xdr:col>
      <xdr:colOff>279487</xdr:colOff>
      <xdr:row>18</xdr:row>
      <xdr:rowOff>147311</xdr:rowOff>
    </xdr:to>
    <mc:AlternateContent xmlns:mc="http://schemas.openxmlformats.org/markup-compatibility/2006">
      <mc:Choice xmlns:a14="http://schemas.microsoft.com/office/drawing/2010/main" Requires="a14">
        <xdr:graphicFrame macro="">
          <xdr:nvGraphicFramePr>
            <xdr:cNvPr id="9" name="weekday">
              <a:extLst>
                <a:ext uri="{FF2B5EF4-FFF2-40B4-BE49-F238E27FC236}">
                  <a16:creationId xmlns:a16="http://schemas.microsoft.com/office/drawing/2014/main" id="{B8C53076-5332-88E4-CE96-F0430C035C8E}"/>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9379591" y="1003256"/>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ndar" refreshedDate="46308.486775347221" createdVersion="8" refreshedVersion="8" minRefreshableVersion="3" recordCount="1200" xr:uid="{B758318F-D888-4BBD-BE8F-B94DD66E423E}">
  <cacheSource type="worksheet">
    <worksheetSource name="metrolink_cleaned_master"/>
  </cacheSource>
  <cacheFields count="22">
    <cacheField name="trip_id" numFmtId="0">
      <sharedItems/>
    </cacheField>
    <cacheField name="route_id" numFmtId="0">
      <sharedItems count="5">
        <s v="R105"/>
        <s v="R102"/>
        <s v="R103"/>
        <s v="R101"/>
        <s v="R104"/>
      </sharedItems>
    </cacheField>
    <cacheField name="date" numFmtId="14">
      <sharedItems containsSemiMixedTypes="0" containsNonDate="0" containsDate="1" containsString="0" minDate="2026-09-01T00:00:00" maxDate="2026-10-01T00:00:00"/>
    </cacheField>
    <cacheField name="start_time" numFmtId="164">
      <sharedItems containsSemiMixedTypes="0" containsNonDate="0" containsDate="1" containsString="0" minDate="1899-12-30T05:00:00" maxDate="1899-12-30T22:45:00"/>
    </cacheField>
    <cacheField name="total_boardings" numFmtId="0">
      <sharedItems containsSemiMixedTypes="0" containsString="0" containsNumber="1" containsInteger="1" minValue="10" maxValue="243"/>
    </cacheField>
    <cacheField name="total_alightings" numFmtId="0">
      <sharedItems containsSemiMixedTypes="0" containsString="0" containsNumber="1" containsInteger="1" minValue="5" maxValue="237"/>
    </cacheField>
    <cacheField name="stops_serviced" numFmtId="0">
      <sharedItems containsSemiMixedTypes="0" containsString="0" containsNumber="1" containsInteger="1" minValue="2" maxValue="7"/>
    </cacheField>
    <cacheField name="route_name" numFmtId="0">
      <sharedItems/>
    </cacheField>
    <cacheField name="distance_km" numFmtId="0">
      <sharedItems containsSemiMixedTypes="0" containsString="0" containsNumber="1" minValue="12.2" maxValue="32"/>
    </cacheField>
    <cacheField name="stop_count" numFmtId="0">
      <sharedItems containsSemiMixedTypes="0" containsString="0" containsNumber="1" containsInteger="1" minValue="14" maxValue="28"/>
    </cacheField>
    <cacheField name="corridor" numFmtId="0">
      <sharedItems count="5">
        <s v="South-East"/>
        <s v="East Express"/>
        <s v="Central"/>
        <s v="North-South"/>
        <s v="West-East"/>
      </sharedItems>
    </cacheField>
    <cacheField name="weekday" numFmtId="0">
      <sharedItems count="7">
        <s v="Tuesday"/>
        <s v="Saturday"/>
        <s v="Sunday"/>
        <s v="Friday"/>
        <s v="Thursday"/>
        <s v="Monday"/>
        <s v="Wednesday"/>
      </sharedItems>
    </cacheField>
    <cacheField name="is_weekend" numFmtId="0">
      <sharedItems containsSemiMixedTypes="0" containsString="0" containsNumber="1" containsInteger="1" minValue="0" maxValue="1"/>
    </cacheField>
    <cacheField name="is_holiday" numFmtId="0">
      <sharedItems containsSemiMixedTypes="0" containsString="0" containsNumber="1" containsInteger="1" minValue="0" maxValue="1"/>
    </cacheField>
    <cacheField name="event" numFmtId="0">
      <sharedItems/>
    </cacheField>
    <cacheField name="scheduled_trips" numFmtId="0">
      <sharedItems containsSemiMixedTypes="0" containsString="0" containsNumber="1" containsInteger="1" minValue="1" maxValue="1"/>
    </cacheField>
    <cacheField name="completed_trips" numFmtId="0">
      <sharedItems containsSemiMixedTypes="0" containsString="0" containsNumber="1" containsInteger="1" minValue="0" maxValue="1"/>
    </cacheField>
    <cacheField name="delay_minutes" numFmtId="0">
      <sharedItems containsSemiMixedTypes="0" containsString="0" containsNumber="1" containsInteger="1" minValue="0" maxValue="44"/>
    </cacheField>
    <cacheField name="hour" numFmtId="0">
      <sharedItems containsSemiMixedTypes="0" containsString="0" containsNumber="1" containsInteger="1" minValue="5" maxValue="22" count="18">
        <n v="18"/>
        <n v="17"/>
        <n v="16"/>
        <n v="10"/>
        <n v="9"/>
        <n v="13"/>
        <n v="7"/>
        <n v="14"/>
        <n v="19"/>
        <n v="11"/>
        <n v="21"/>
        <n v="22"/>
        <n v="6"/>
        <n v="8"/>
        <n v="12"/>
        <n v="20"/>
        <n v="5"/>
        <n v="15"/>
      </sharedItems>
    </cacheField>
    <cacheField name="is_rush_hour" numFmtId="0">
      <sharedItems containsSemiMixedTypes="0" containsString="0" containsNumber="1" containsInteger="1" minValue="0" maxValue="1"/>
    </cacheField>
    <cacheField name="has_special_event" numFmtId="0">
      <sharedItems containsSemiMixedTypes="0" containsString="0" containsNumber="1" containsInteger="1" minValue="0" maxValue="1" count="2">
        <n v="0"/>
        <n v="1"/>
      </sharedItems>
    </cacheField>
    <cacheField name="passenger_density" numFmtId="0">
      <sharedItems containsSemiMixedTypes="0" containsString="0" containsNumber="1" minValue="0.5" maxValue="17.87"/>
    </cacheField>
  </cacheFields>
  <extLst>
    <ext xmlns:x14="http://schemas.microsoft.com/office/spreadsheetml/2009/9/main" uri="{725AE2AE-9491-48be-B2B4-4EB974FC3084}">
      <x14:pivotCacheDefinition pivotCacheId="198560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T1000"/>
    <x v="0"/>
    <d v="2026-09-08T00:00:00"/>
    <d v="1899-12-30T18:45:00"/>
    <n v="64"/>
    <n v="65"/>
    <n v="4"/>
    <s v="Tech Park Shuttle"/>
    <n v="15"/>
    <n v="16"/>
    <x v="0"/>
    <x v="0"/>
    <n v="0"/>
    <n v="0"/>
    <s v=""/>
    <n v="1"/>
    <n v="1"/>
    <n v="0"/>
    <x v="0"/>
    <n v="1"/>
    <x v="0"/>
    <n v="4.2699999999999996"/>
  </r>
  <r>
    <s v="T1001"/>
    <x v="1"/>
    <d v="2026-09-26T00:00:00"/>
    <d v="1899-12-30T17:45:00"/>
    <n v="61"/>
    <n v="50"/>
    <n v="5"/>
    <s v="Airport Express"/>
    <n v="32"/>
    <n v="14"/>
    <x v="1"/>
    <x v="1"/>
    <n v="1"/>
    <n v="0"/>
    <s v=""/>
    <n v="1"/>
    <n v="1"/>
    <n v="4"/>
    <x v="1"/>
    <n v="1"/>
    <x v="0"/>
    <n v="1.91"/>
  </r>
  <r>
    <s v="T1002"/>
    <x v="2"/>
    <d v="2026-09-19T00:00:00"/>
    <d v="1899-12-30T16:15:00"/>
    <n v="155"/>
    <n v="144"/>
    <n v="4"/>
    <s v="Downtown Loop"/>
    <n v="12.2"/>
    <n v="18"/>
    <x v="2"/>
    <x v="1"/>
    <n v="1"/>
    <n v="1"/>
    <s v=""/>
    <n v="1"/>
    <n v="1"/>
    <n v="11"/>
    <x v="2"/>
    <n v="0"/>
    <x v="0"/>
    <n v="12.7"/>
  </r>
  <r>
    <s v="T1003"/>
    <x v="0"/>
    <d v="2026-09-13T00:00:00"/>
    <d v="1899-12-30T10:15:00"/>
    <n v="90"/>
    <n v="105"/>
    <n v="5"/>
    <s v="Tech Park Shuttle"/>
    <n v="15"/>
    <n v="16"/>
    <x v="0"/>
    <x v="2"/>
    <n v="1"/>
    <n v="0"/>
    <s v=""/>
    <n v="1"/>
    <n v="1"/>
    <n v="18"/>
    <x v="3"/>
    <n v="1"/>
    <x v="0"/>
    <n v="6"/>
  </r>
  <r>
    <s v="T1004"/>
    <x v="1"/>
    <d v="2026-09-12T00:00:00"/>
    <d v="1899-12-30T09:45:00"/>
    <n v="81"/>
    <n v="87"/>
    <n v="3"/>
    <s v="Airport Express"/>
    <n v="32"/>
    <n v="14"/>
    <x v="1"/>
    <x v="1"/>
    <n v="1"/>
    <n v="0"/>
    <s v="Tech Expo"/>
    <n v="1"/>
    <n v="1"/>
    <n v="1"/>
    <x v="4"/>
    <n v="1"/>
    <x v="1"/>
    <n v="2.5299999999999998"/>
  </r>
  <r>
    <s v="T1005"/>
    <x v="2"/>
    <d v="2026-09-05T00:00:00"/>
    <d v="1899-12-30T13:30:00"/>
    <n v="31"/>
    <n v="33"/>
    <n v="3"/>
    <s v="Downtown Loop"/>
    <n v="12.2"/>
    <n v="18"/>
    <x v="2"/>
    <x v="1"/>
    <n v="1"/>
    <n v="1"/>
    <s v=""/>
    <n v="1"/>
    <n v="1"/>
    <n v="4"/>
    <x v="5"/>
    <n v="0"/>
    <x v="0"/>
    <n v="2.54"/>
  </r>
  <r>
    <s v="T1006"/>
    <x v="2"/>
    <d v="2026-09-06T00:00:00"/>
    <d v="1899-12-30T07:45:00"/>
    <n v="100"/>
    <n v="111"/>
    <n v="4"/>
    <s v="Downtown Loop"/>
    <n v="12.2"/>
    <n v="18"/>
    <x v="2"/>
    <x v="2"/>
    <n v="1"/>
    <n v="0"/>
    <s v=""/>
    <n v="1"/>
    <n v="1"/>
    <n v="2"/>
    <x v="6"/>
    <n v="0"/>
    <x v="0"/>
    <n v="8.1999999999999993"/>
  </r>
  <r>
    <s v="T1007"/>
    <x v="0"/>
    <d v="2026-09-26T00:00:00"/>
    <d v="1899-12-30T14:30:00"/>
    <n v="170"/>
    <n v="163"/>
    <n v="5"/>
    <s v="Tech Park Shuttle"/>
    <n v="15"/>
    <n v="16"/>
    <x v="0"/>
    <x v="1"/>
    <n v="1"/>
    <n v="0"/>
    <s v=""/>
    <n v="1"/>
    <n v="1"/>
    <n v="4"/>
    <x v="7"/>
    <n v="0"/>
    <x v="0"/>
    <n v="11.33"/>
  </r>
  <r>
    <s v="T1008"/>
    <x v="3"/>
    <d v="2026-09-22T00:00:00"/>
    <d v="1899-12-30T07:00:00"/>
    <n v="107"/>
    <n v="104"/>
    <n v="6"/>
    <s v="Corridor North"/>
    <n v="18.5"/>
    <n v="22"/>
    <x v="3"/>
    <x v="0"/>
    <n v="0"/>
    <n v="0"/>
    <s v=""/>
    <n v="1"/>
    <n v="1"/>
    <n v="4"/>
    <x v="6"/>
    <n v="0"/>
    <x v="0"/>
    <n v="5.78"/>
  </r>
  <r>
    <s v="T1009"/>
    <x v="1"/>
    <d v="2026-09-04T00:00:00"/>
    <d v="1899-12-30T19:00:00"/>
    <n v="101"/>
    <n v="101"/>
    <n v="7"/>
    <s v="Airport Express"/>
    <n v="32"/>
    <n v="14"/>
    <x v="1"/>
    <x v="3"/>
    <n v="0"/>
    <n v="0"/>
    <s v=""/>
    <n v="1"/>
    <n v="1"/>
    <n v="4"/>
    <x v="8"/>
    <n v="1"/>
    <x v="0"/>
    <n v="3.16"/>
  </r>
  <r>
    <s v="T1010"/>
    <x v="0"/>
    <d v="2026-09-19T00:00:00"/>
    <d v="1899-12-30T11:45:00"/>
    <n v="131"/>
    <n v="135"/>
    <n v="5"/>
    <s v="Tech Park Shuttle"/>
    <n v="15"/>
    <n v="16"/>
    <x v="0"/>
    <x v="1"/>
    <n v="1"/>
    <n v="1"/>
    <s v=""/>
    <n v="1"/>
    <n v="1"/>
    <n v="2"/>
    <x v="9"/>
    <n v="0"/>
    <x v="0"/>
    <n v="8.73"/>
  </r>
  <r>
    <s v="T1011"/>
    <x v="1"/>
    <d v="2026-09-20T00:00:00"/>
    <d v="1899-12-30T21:15:00"/>
    <n v="132"/>
    <n v="125"/>
    <n v="6"/>
    <s v="Airport Express"/>
    <n v="32"/>
    <n v="14"/>
    <x v="1"/>
    <x v="2"/>
    <n v="1"/>
    <n v="0"/>
    <s v="Marathon"/>
    <n v="1"/>
    <n v="1"/>
    <n v="3"/>
    <x v="10"/>
    <n v="0"/>
    <x v="1"/>
    <n v="4.12"/>
  </r>
  <r>
    <s v="T1012"/>
    <x v="1"/>
    <d v="2026-09-01T00:00:00"/>
    <d v="1899-12-30T09:45:00"/>
    <n v="41"/>
    <n v="45"/>
    <n v="4"/>
    <s v="Airport Express"/>
    <n v="32"/>
    <n v="14"/>
    <x v="1"/>
    <x v="0"/>
    <n v="0"/>
    <n v="0"/>
    <s v=""/>
    <n v="1"/>
    <n v="1"/>
    <n v="22"/>
    <x v="4"/>
    <n v="1"/>
    <x v="0"/>
    <n v="1.28"/>
  </r>
  <r>
    <s v="T1013"/>
    <x v="2"/>
    <d v="2026-09-20T00:00:00"/>
    <d v="1899-12-30T16:15:00"/>
    <n v="73"/>
    <n v="79"/>
    <n v="3"/>
    <s v="Downtown Loop"/>
    <n v="12.2"/>
    <n v="18"/>
    <x v="2"/>
    <x v="2"/>
    <n v="1"/>
    <n v="0"/>
    <s v="Marathon"/>
    <n v="1"/>
    <n v="1"/>
    <n v="5"/>
    <x v="2"/>
    <n v="0"/>
    <x v="1"/>
    <n v="5.98"/>
  </r>
  <r>
    <s v="T1014"/>
    <x v="1"/>
    <d v="2026-09-17T00:00:00"/>
    <d v="1899-12-30T22:00:00"/>
    <n v="95"/>
    <n v="88"/>
    <n v="3"/>
    <s v="Airport Express"/>
    <n v="32"/>
    <n v="14"/>
    <x v="1"/>
    <x v="4"/>
    <n v="0"/>
    <n v="0"/>
    <s v=""/>
    <n v="1"/>
    <n v="1"/>
    <n v="2"/>
    <x v="11"/>
    <n v="0"/>
    <x v="0"/>
    <n v="2.97"/>
  </r>
  <r>
    <s v="T1015"/>
    <x v="1"/>
    <d v="2026-09-12T00:00:00"/>
    <d v="1899-12-30T13:45:00"/>
    <n v="160"/>
    <n v="149"/>
    <n v="5"/>
    <s v="Airport Express"/>
    <n v="32"/>
    <n v="14"/>
    <x v="1"/>
    <x v="1"/>
    <n v="1"/>
    <n v="0"/>
    <s v="Tech Expo"/>
    <n v="1"/>
    <n v="1"/>
    <n v="12"/>
    <x v="5"/>
    <n v="0"/>
    <x v="1"/>
    <n v="5"/>
  </r>
  <r>
    <s v="T1016"/>
    <x v="4"/>
    <d v="2026-09-15T00:00:00"/>
    <d v="1899-12-30T06:45:00"/>
    <n v="15"/>
    <n v="12"/>
    <n v="5"/>
    <s v="Suburban Link"/>
    <n v="24.8"/>
    <n v="28"/>
    <x v="4"/>
    <x v="0"/>
    <n v="0"/>
    <n v="0"/>
    <s v=""/>
    <n v="1"/>
    <n v="1"/>
    <n v="6"/>
    <x v="12"/>
    <n v="0"/>
    <x v="0"/>
    <n v="0.6"/>
  </r>
  <r>
    <s v="T1017"/>
    <x v="2"/>
    <d v="2026-09-01T00:00:00"/>
    <d v="1899-12-30T08:15:00"/>
    <n v="137"/>
    <n v="130"/>
    <n v="7"/>
    <s v="Downtown Loop"/>
    <n v="12.2"/>
    <n v="18"/>
    <x v="2"/>
    <x v="0"/>
    <n v="0"/>
    <n v="0"/>
    <s v=""/>
    <n v="1"/>
    <n v="1"/>
    <n v="1"/>
    <x v="13"/>
    <n v="1"/>
    <x v="0"/>
    <n v="11.23"/>
  </r>
  <r>
    <s v="T1018"/>
    <x v="3"/>
    <d v="2026-09-26T00:00:00"/>
    <d v="1899-12-30T19:15:00"/>
    <n v="82"/>
    <n v="90"/>
    <n v="3"/>
    <s v="Corridor North"/>
    <n v="18.5"/>
    <n v="22"/>
    <x v="3"/>
    <x v="1"/>
    <n v="1"/>
    <n v="0"/>
    <s v=""/>
    <n v="1"/>
    <n v="1"/>
    <n v="0"/>
    <x v="8"/>
    <n v="1"/>
    <x v="0"/>
    <n v="4.43"/>
  </r>
  <r>
    <s v="T1019"/>
    <x v="1"/>
    <d v="2026-09-14T00:00:00"/>
    <d v="1899-12-30T08:15:00"/>
    <n v="166"/>
    <n v="176"/>
    <n v="5"/>
    <s v="Airport Express"/>
    <n v="32"/>
    <n v="14"/>
    <x v="1"/>
    <x v="5"/>
    <n v="0"/>
    <n v="0"/>
    <s v=""/>
    <n v="1"/>
    <n v="1"/>
    <n v="9"/>
    <x v="13"/>
    <n v="1"/>
    <x v="0"/>
    <n v="5.19"/>
  </r>
  <r>
    <s v="T1020"/>
    <x v="4"/>
    <d v="2026-09-06T00:00:00"/>
    <d v="1899-12-30T11:15:00"/>
    <n v="28"/>
    <n v="35"/>
    <n v="3"/>
    <s v="Suburban Link"/>
    <n v="24.8"/>
    <n v="28"/>
    <x v="4"/>
    <x v="2"/>
    <n v="1"/>
    <n v="0"/>
    <s v=""/>
    <n v="1"/>
    <n v="1"/>
    <n v="1"/>
    <x v="9"/>
    <n v="0"/>
    <x v="0"/>
    <n v="1.1299999999999999"/>
  </r>
  <r>
    <s v="T1021"/>
    <x v="4"/>
    <d v="2026-09-05T00:00:00"/>
    <d v="1899-12-30T16:30:00"/>
    <n v="196"/>
    <n v="187"/>
    <n v="7"/>
    <s v="Suburban Link"/>
    <n v="24.8"/>
    <n v="28"/>
    <x v="4"/>
    <x v="1"/>
    <n v="1"/>
    <n v="1"/>
    <s v=""/>
    <n v="1"/>
    <n v="1"/>
    <n v="10"/>
    <x v="2"/>
    <n v="0"/>
    <x v="0"/>
    <n v="7.9"/>
  </r>
  <r>
    <s v="T1022"/>
    <x v="3"/>
    <d v="2026-09-30T00:00:00"/>
    <d v="1899-12-30T17:15:00"/>
    <n v="107"/>
    <n v="108"/>
    <n v="4"/>
    <s v="Corridor North"/>
    <n v="18.5"/>
    <n v="22"/>
    <x v="3"/>
    <x v="6"/>
    <n v="0"/>
    <n v="0"/>
    <s v=""/>
    <n v="1"/>
    <n v="1"/>
    <n v="10"/>
    <x v="1"/>
    <n v="1"/>
    <x v="0"/>
    <n v="5.78"/>
  </r>
  <r>
    <s v="T1023"/>
    <x v="1"/>
    <d v="2026-09-11T00:00:00"/>
    <d v="1899-12-30T12:00:00"/>
    <n v="126"/>
    <n v="134"/>
    <n v="4"/>
    <s v="Airport Express"/>
    <n v="32"/>
    <n v="14"/>
    <x v="1"/>
    <x v="3"/>
    <n v="0"/>
    <n v="0"/>
    <s v=""/>
    <n v="1"/>
    <n v="1"/>
    <n v="0"/>
    <x v="14"/>
    <n v="0"/>
    <x v="0"/>
    <n v="3.94"/>
  </r>
  <r>
    <s v="T1024"/>
    <x v="2"/>
    <d v="2026-09-04T00:00:00"/>
    <d v="1899-12-30T19:00:00"/>
    <n v="126"/>
    <n v="123"/>
    <n v="6"/>
    <s v="Downtown Loop"/>
    <n v="12.2"/>
    <n v="18"/>
    <x v="2"/>
    <x v="3"/>
    <n v="0"/>
    <n v="0"/>
    <s v=""/>
    <n v="1"/>
    <n v="1"/>
    <n v="4"/>
    <x v="8"/>
    <n v="1"/>
    <x v="0"/>
    <n v="10.33"/>
  </r>
  <r>
    <s v="T1025"/>
    <x v="3"/>
    <d v="2026-09-13T00:00:00"/>
    <d v="1899-12-30T07:15:00"/>
    <n v="50"/>
    <n v="52"/>
    <n v="3"/>
    <s v="Corridor North"/>
    <n v="18.5"/>
    <n v="22"/>
    <x v="3"/>
    <x v="2"/>
    <n v="1"/>
    <n v="0"/>
    <s v=""/>
    <n v="1"/>
    <n v="1"/>
    <n v="12"/>
    <x v="6"/>
    <n v="0"/>
    <x v="0"/>
    <n v="2.7"/>
  </r>
  <r>
    <s v="T1026"/>
    <x v="1"/>
    <d v="2026-09-11T00:00:00"/>
    <d v="1899-12-30T12:45:00"/>
    <n v="51"/>
    <n v="61"/>
    <n v="3"/>
    <s v="Airport Express"/>
    <n v="32"/>
    <n v="14"/>
    <x v="1"/>
    <x v="3"/>
    <n v="0"/>
    <n v="0"/>
    <s v=""/>
    <n v="1"/>
    <n v="1"/>
    <n v="2"/>
    <x v="14"/>
    <n v="0"/>
    <x v="0"/>
    <n v="1.59"/>
  </r>
  <r>
    <s v="T1027"/>
    <x v="3"/>
    <d v="2026-09-03T00:00:00"/>
    <d v="1899-12-30T20:15:00"/>
    <n v="134"/>
    <n v="131"/>
    <n v="6"/>
    <s v="Corridor North"/>
    <n v="18.5"/>
    <n v="22"/>
    <x v="3"/>
    <x v="4"/>
    <n v="0"/>
    <n v="0"/>
    <s v=""/>
    <n v="1"/>
    <n v="1"/>
    <n v="8"/>
    <x v="15"/>
    <n v="0"/>
    <x v="0"/>
    <n v="7.24"/>
  </r>
  <r>
    <s v="T1028"/>
    <x v="4"/>
    <d v="2026-09-01T00:00:00"/>
    <d v="1899-12-30T14:45:00"/>
    <n v="107"/>
    <n v="106"/>
    <n v="4"/>
    <s v="Suburban Link"/>
    <n v="24.8"/>
    <n v="28"/>
    <x v="4"/>
    <x v="0"/>
    <n v="0"/>
    <n v="0"/>
    <s v=""/>
    <n v="1"/>
    <n v="1"/>
    <n v="7"/>
    <x v="7"/>
    <n v="0"/>
    <x v="0"/>
    <n v="4.3099999999999996"/>
  </r>
  <r>
    <s v="T1029"/>
    <x v="2"/>
    <d v="2026-09-06T00:00:00"/>
    <d v="1899-12-30T18:15:00"/>
    <n v="105"/>
    <n v="102"/>
    <n v="6"/>
    <s v="Downtown Loop"/>
    <n v="12.2"/>
    <n v="18"/>
    <x v="2"/>
    <x v="2"/>
    <n v="1"/>
    <n v="0"/>
    <s v=""/>
    <n v="1"/>
    <n v="1"/>
    <n v="0"/>
    <x v="0"/>
    <n v="1"/>
    <x v="0"/>
    <n v="8.61"/>
  </r>
  <r>
    <s v="T1030"/>
    <x v="1"/>
    <d v="2026-09-18T00:00:00"/>
    <d v="1899-12-30T06:30:00"/>
    <n v="81"/>
    <n v="81"/>
    <n v="3"/>
    <s v="Airport Express"/>
    <n v="32"/>
    <n v="14"/>
    <x v="1"/>
    <x v="3"/>
    <n v="0"/>
    <n v="0"/>
    <s v=""/>
    <n v="1"/>
    <n v="1"/>
    <n v="2"/>
    <x v="12"/>
    <n v="0"/>
    <x v="0"/>
    <n v="2.5299999999999998"/>
  </r>
  <r>
    <s v="T1031"/>
    <x v="3"/>
    <d v="2026-09-24T00:00:00"/>
    <d v="1899-12-30T09:00:00"/>
    <n v="84"/>
    <n v="84"/>
    <n v="4"/>
    <s v="Corridor North"/>
    <n v="18.5"/>
    <n v="22"/>
    <x v="3"/>
    <x v="4"/>
    <n v="0"/>
    <n v="0"/>
    <s v=""/>
    <n v="1"/>
    <n v="1"/>
    <n v="1"/>
    <x v="4"/>
    <n v="1"/>
    <x v="0"/>
    <n v="4.54"/>
  </r>
  <r>
    <s v="T1032"/>
    <x v="3"/>
    <d v="2026-09-10T00:00:00"/>
    <d v="1899-12-30T10:00:00"/>
    <n v="135"/>
    <n v="136"/>
    <n v="5"/>
    <s v="Corridor North"/>
    <n v="18.5"/>
    <n v="22"/>
    <x v="3"/>
    <x v="4"/>
    <n v="0"/>
    <n v="0"/>
    <s v=""/>
    <n v="1"/>
    <n v="1"/>
    <n v="4"/>
    <x v="3"/>
    <n v="1"/>
    <x v="0"/>
    <n v="7.3"/>
  </r>
  <r>
    <s v="T1033"/>
    <x v="1"/>
    <d v="2026-09-05T00:00:00"/>
    <d v="1899-12-30T13:15:00"/>
    <n v="114"/>
    <n v="108"/>
    <n v="5"/>
    <s v="Airport Express"/>
    <n v="32"/>
    <n v="14"/>
    <x v="1"/>
    <x v="1"/>
    <n v="1"/>
    <n v="1"/>
    <s v=""/>
    <n v="1"/>
    <n v="1"/>
    <n v="3"/>
    <x v="5"/>
    <n v="0"/>
    <x v="0"/>
    <n v="3.56"/>
  </r>
  <r>
    <s v="T1034"/>
    <x v="1"/>
    <d v="2026-09-23T00:00:00"/>
    <d v="1899-12-30T19:15:00"/>
    <n v="178"/>
    <n v="174"/>
    <n v="5"/>
    <s v="Airport Express"/>
    <n v="32"/>
    <n v="14"/>
    <x v="1"/>
    <x v="6"/>
    <n v="0"/>
    <n v="0"/>
    <s v=""/>
    <n v="1"/>
    <n v="1"/>
    <n v="0"/>
    <x v="8"/>
    <n v="1"/>
    <x v="0"/>
    <n v="5.56"/>
  </r>
  <r>
    <s v="T1035"/>
    <x v="0"/>
    <d v="2026-09-10T00:00:00"/>
    <d v="1899-12-30T11:00:00"/>
    <n v="77"/>
    <n v="76"/>
    <n v="3"/>
    <s v="Tech Park Shuttle"/>
    <n v="15"/>
    <n v="16"/>
    <x v="0"/>
    <x v="4"/>
    <n v="0"/>
    <n v="0"/>
    <s v=""/>
    <n v="1"/>
    <n v="1"/>
    <n v="4"/>
    <x v="9"/>
    <n v="0"/>
    <x v="0"/>
    <n v="5.13"/>
  </r>
  <r>
    <s v="T1036"/>
    <x v="3"/>
    <d v="2026-09-12T00:00:00"/>
    <d v="1899-12-30T06:30:00"/>
    <n v="155"/>
    <n v="158"/>
    <n v="6"/>
    <s v="Corridor North"/>
    <n v="18.5"/>
    <n v="22"/>
    <x v="3"/>
    <x v="1"/>
    <n v="1"/>
    <n v="0"/>
    <s v="Tech Expo"/>
    <n v="1"/>
    <n v="1"/>
    <n v="4"/>
    <x v="12"/>
    <n v="0"/>
    <x v="1"/>
    <n v="8.3800000000000008"/>
  </r>
  <r>
    <s v="T1037"/>
    <x v="1"/>
    <d v="2026-09-02T00:00:00"/>
    <d v="1899-12-30T10:00:00"/>
    <n v="87"/>
    <n v="81"/>
    <n v="3"/>
    <s v="Airport Express"/>
    <n v="32"/>
    <n v="14"/>
    <x v="1"/>
    <x v="6"/>
    <n v="0"/>
    <n v="0"/>
    <s v=""/>
    <n v="1"/>
    <n v="1"/>
    <n v="3"/>
    <x v="3"/>
    <n v="1"/>
    <x v="0"/>
    <n v="2.72"/>
  </r>
  <r>
    <s v="T1038"/>
    <x v="1"/>
    <d v="2026-09-13T00:00:00"/>
    <d v="1899-12-30T06:30:00"/>
    <n v="48"/>
    <n v="47"/>
    <n v="4"/>
    <s v="Airport Express"/>
    <n v="32"/>
    <n v="14"/>
    <x v="1"/>
    <x v="2"/>
    <n v="1"/>
    <n v="0"/>
    <s v=""/>
    <n v="1"/>
    <n v="1"/>
    <n v="4"/>
    <x v="12"/>
    <n v="0"/>
    <x v="0"/>
    <n v="1.5"/>
  </r>
  <r>
    <s v="T1039"/>
    <x v="0"/>
    <d v="2026-09-08T00:00:00"/>
    <d v="1899-12-30T09:00:00"/>
    <n v="115"/>
    <n v="114"/>
    <n v="6"/>
    <s v="Tech Park Shuttle"/>
    <n v="15"/>
    <n v="16"/>
    <x v="0"/>
    <x v="0"/>
    <n v="0"/>
    <n v="0"/>
    <s v=""/>
    <n v="1"/>
    <n v="1"/>
    <n v="0"/>
    <x v="4"/>
    <n v="1"/>
    <x v="0"/>
    <n v="7.67"/>
  </r>
  <r>
    <s v="T1040"/>
    <x v="4"/>
    <d v="2026-09-02T00:00:00"/>
    <d v="1899-12-30T05:45:00"/>
    <n v="87"/>
    <n v="77"/>
    <n v="5"/>
    <s v="Suburban Link"/>
    <n v="24.8"/>
    <n v="28"/>
    <x v="4"/>
    <x v="6"/>
    <n v="0"/>
    <n v="0"/>
    <s v=""/>
    <n v="1"/>
    <n v="1"/>
    <n v="19"/>
    <x v="16"/>
    <n v="0"/>
    <x v="0"/>
    <n v="3.51"/>
  </r>
  <r>
    <s v="T1041"/>
    <x v="4"/>
    <d v="2026-09-20T00:00:00"/>
    <d v="1899-12-30T16:45:00"/>
    <n v="63"/>
    <n v="65"/>
    <n v="5"/>
    <s v="Suburban Link"/>
    <n v="24.8"/>
    <n v="28"/>
    <x v="4"/>
    <x v="2"/>
    <n v="1"/>
    <n v="0"/>
    <s v="Marathon"/>
    <n v="1"/>
    <n v="1"/>
    <n v="1"/>
    <x v="2"/>
    <n v="0"/>
    <x v="1"/>
    <n v="2.54"/>
  </r>
  <r>
    <s v="T1042"/>
    <x v="0"/>
    <d v="2026-09-01T00:00:00"/>
    <d v="1899-12-30T08:00:00"/>
    <n v="157"/>
    <n v="151"/>
    <n v="4"/>
    <s v="Tech Park Shuttle"/>
    <n v="15"/>
    <n v="16"/>
    <x v="0"/>
    <x v="0"/>
    <n v="0"/>
    <n v="0"/>
    <s v=""/>
    <n v="1"/>
    <n v="1"/>
    <n v="4"/>
    <x v="13"/>
    <n v="1"/>
    <x v="0"/>
    <n v="10.47"/>
  </r>
  <r>
    <s v="T1043"/>
    <x v="4"/>
    <d v="2026-09-05T00:00:00"/>
    <d v="1899-12-30T19:30:00"/>
    <n v="174"/>
    <n v="170"/>
    <n v="6"/>
    <s v="Suburban Link"/>
    <n v="24.8"/>
    <n v="28"/>
    <x v="4"/>
    <x v="1"/>
    <n v="1"/>
    <n v="1"/>
    <s v=""/>
    <n v="1"/>
    <n v="1"/>
    <n v="4"/>
    <x v="8"/>
    <n v="1"/>
    <x v="0"/>
    <n v="7.02"/>
  </r>
  <r>
    <s v="T1044"/>
    <x v="1"/>
    <d v="2026-09-09T00:00:00"/>
    <d v="1899-12-30T15:15:00"/>
    <n v="168"/>
    <n v="174"/>
    <n v="6"/>
    <s v="Airport Express"/>
    <n v="32"/>
    <n v="14"/>
    <x v="1"/>
    <x v="6"/>
    <n v="0"/>
    <n v="0"/>
    <s v=""/>
    <n v="1"/>
    <n v="1"/>
    <n v="4"/>
    <x v="17"/>
    <n v="0"/>
    <x v="0"/>
    <n v="5.25"/>
  </r>
  <r>
    <s v="T1045"/>
    <x v="1"/>
    <d v="2026-09-17T00:00:00"/>
    <d v="1899-12-30T07:15:00"/>
    <n v="92"/>
    <n v="90"/>
    <n v="3"/>
    <s v="Airport Express"/>
    <n v="32"/>
    <n v="14"/>
    <x v="1"/>
    <x v="4"/>
    <n v="0"/>
    <n v="0"/>
    <s v=""/>
    <n v="1"/>
    <n v="1"/>
    <n v="10"/>
    <x v="6"/>
    <n v="0"/>
    <x v="0"/>
    <n v="2.88"/>
  </r>
  <r>
    <s v="T1046"/>
    <x v="0"/>
    <d v="2026-09-09T00:00:00"/>
    <d v="1899-12-30T18:45:00"/>
    <n v="110"/>
    <n v="101"/>
    <n v="7"/>
    <s v="Tech Park Shuttle"/>
    <n v="15"/>
    <n v="16"/>
    <x v="0"/>
    <x v="6"/>
    <n v="0"/>
    <n v="0"/>
    <s v=""/>
    <n v="1"/>
    <n v="1"/>
    <n v="2"/>
    <x v="0"/>
    <n v="1"/>
    <x v="0"/>
    <n v="7.33"/>
  </r>
  <r>
    <s v="T1047"/>
    <x v="1"/>
    <d v="2026-09-11T00:00:00"/>
    <d v="1899-12-30T14:00:00"/>
    <n v="129"/>
    <n v="140"/>
    <n v="5"/>
    <s v="Airport Express"/>
    <n v="32"/>
    <n v="14"/>
    <x v="1"/>
    <x v="3"/>
    <n v="0"/>
    <n v="0"/>
    <s v=""/>
    <n v="1"/>
    <n v="1"/>
    <n v="4"/>
    <x v="7"/>
    <n v="0"/>
    <x v="0"/>
    <n v="4.03"/>
  </r>
  <r>
    <s v="T1048"/>
    <x v="3"/>
    <d v="2026-09-15T00:00:00"/>
    <d v="1899-12-30T14:45:00"/>
    <n v="97"/>
    <n v="86"/>
    <n v="3"/>
    <s v="Corridor North"/>
    <n v="18.5"/>
    <n v="22"/>
    <x v="3"/>
    <x v="0"/>
    <n v="0"/>
    <n v="0"/>
    <s v=""/>
    <n v="1"/>
    <n v="1"/>
    <n v="3"/>
    <x v="7"/>
    <n v="0"/>
    <x v="0"/>
    <n v="5.24"/>
  </r>
  <r>
    <s v="T1049"/>
    <x v="1"/>
    <d v="2026-09-24T00:00:00"/>
    <d v="1899-12-30T13:00:00"/>
    <n v="131"/>
    <n v="137"/>
    <n v="4"/>
    <s v="Airport Express"/>
    <n v="32"/>
    <n v="14"/>
    <x v="1"/>
    <x v="4"/>
    <n v="0"/>
    <n v="0"/>
    <s v=""/>
    <n v="1"/>
    <n v="1"/>
    <n v="4"/>
    <x v="5"/>
    <n v="0"/>
    <x v="0"/>
    <n v="4.09"/>
  </r>
  <r>
    <s v="T1050"/>
    <x v="2"/>
    <d v="2026-09-06T00:00:00"/>
    <d v="1899-12-30T09:45:00"/>
    <n v="143"/>
    <n v="144"/>
    <n v="6"/>
    <s v="Downtown Loop"/>
    <n v="12.2"/>
    <n v="18"/>
    <x v="2"/>
    <x v="2"/>
    <n v="1"/>
    <n v="0"/>
    <s v=""/>
    <n v="1"/>
    <n v="1"/>
    <n v="5"/>
    <x v="4"/>
    <n v="1"/>
    <x v="0"/>
    <n v="11.72"/>
  </r>
  <r>
    <s v="T1051"/>
    <x v="1"/>
    <d v="2026-09-23T00:00:00"/>
    <d v="1899-12-30T12:30:00"/>
    <n v="34"/>
    <n v="34"/>
    <n v="3"/>
    <s v="Airport Express"/>
    <n v="32"/>
    <n v="14"/>
    <x v="1"/>
    <x v="6"/>
    <n v="0"/>
    <n v="0"/>
    <s v=""/>
    <n v="1"/>
    <n v="1"/>
    <n v="6"/>
    <x v="14"/>
    <n v="0"/>
    <x v="0"/>
    <n v="1.06"/>
  </r>
  <r>
    <s v="T1052"/>
    <x v="0"/>
    <d v="2026-09-03T00:00:00"/>
    <d v="1899-12-30T16:00:00"/>
    <n v="71"/>
    <n v="71"/>
    <n v="3"/>
    <s v="Tech Park Shuttle"/>
    <n v="15"/>
    <n v="16"/>
    <x v="0"/>
    <x v="4"/>
    <n v="0"/>
    <n v="0"/>
    <s v=""/>
    <n v="1"/>
    <n v="1"/>
    <n v="0"/>
    <x v="2"/>
    <n v="0"/>
    <x v="0"/>
    <n v="4.7300000000000004"/>
  </r>
  <r>
    <s v="T1053"/>
    <x v="2"/>
    <d v="2026-09-30T00:00:00"/>
    <d v="1899-12-30T15:00:00"/>
    <n v="132"/>
    <n v="134"/>
    <n v="5"/>
    <s v="Downtown Loop"/>
    <n v="12.2"/>
    <n v="18"/>
    <x v="2"/>
    <x v="6"/>
    <n v="0"/>
    <n v="0"/>
    <s v=""/>
    <n v="1"/>
    <n v="1"/>
    <n v="10"/>
    <x v="17"/>
    <n v="0"/>
    <x v="0"/>
    <n v="10.82"/>
  </r>
  <r>
    <s v="T1054"/>
    <x v="3"/>
    <d v="2026-09-17T00:00:00"/>
    <d v="1899-12-30T19:00:00"/>
    <n v="144"/>
    <n v="145"/>
    <n v="5"/>
    <s v="Corridor North"/>
    <n v="18.5"/>
    <n v="22"/>
    <x v="3"/>
    <x v="4"/>
    <n v="0"/>
    <n v="0"/>
    <s v=""/>
    <n v="1"/>
    <n v="1"/>
    <n v="4"/>
    <x v="8"/>
    <n v="1"/>
    <x v="0"/>
    <n v="7.78"/>
  </r>
  <r>
    <s v="T1055"/>
    <x v="0"/>
    <d v="2026-09-05T00:00:00"/>
    <d v="1899-12-30T16:00:00"/>
    <n v="119"/>
    <n v="127"/>
    <n v="7"/>
    <s v="Tech Park Shuttle"/>
    <n v="15"/>
    <n v="16"/>
    <x v="0"/>
    <x v="1"/>
    <n v="1"/>
    <n v="1"/>
    <s v=""/>
    <n v="1"/>
    <n v="1"/>
    <n v="3"/>
    <x v="2"/>
    <n v="0"/>
    <x v="0"/>
    <n v="7.93"/>
  </r>
  <r>
    <s v="T1056"/>
    <x v="3"/>
    <d v="2026-09-30T00:00:00"/>
    <d v="1899-12-30T21:00:00"/>
    <n v="86"/>
    <n v="74"/>
    <n v="6"/>
    <s v="Corridor North"/>
    <n v="18.5"/>
    <n v="22"/>
    <x v="3"/>
    <x v="6"/>
    <n v="0"/>
    <n v="0"/>
    <s v=""/>
    <n v="1"/>
    <n v="1"/>
    <n v="4"/>
    <x v="10"/>
    <n v="0"/>
    <x v="0"/>
    <n v="4.6500000000000004"/>
  </r>
  <r>
    <s v="T1057"/>
    <x v="1"/>
    <d v="2026-09-28T00:00:00"/>
    <d v="1899-12-30T16:45:00"/>
    <n v="175"/>
    <n v="169"/>
    <n v="6"/>
    <s v="Airport Express"/>
    <n v="32"/>
    <n v="14"/>
    <x v="1"/>
    <x v="5"/>
    <n v="0"/>
    <n v="0"/>
    <s v=""/>
    <n v="1"/>
    <n v="1"/>
    <n v="3"/>
    <x v="2"/>
    <n v="0"/>
    <x v="0"/>
    <n v="5.47"/>
  </r>
  <r>
    <s v="T1058"/>
    <x v="3"/>
    <d v="2026-09-12T00:00:00"/>
    <d v="1899-12-30T19:30:00"/>
    <n v="78"/>
    <n v="76"/>
    <n v="5"/>
    <s v="Corridor North"/>
    <n v="18.5"/>
    <n v="22"/>
    <x v="3"/>
    <x v="1"/>
    <n v="1"/>
    <n v="0"/>
    <s v="Tech Expo"/>
    <n v="1"/>
    <n v="1"/>
    <n v="4"/>
    <x v="8"/>
    <n v="1"/>
    <x v="1"/>
    <n v="4.22"/>
  </r>
  <r>
    <s v="T1059"/>
    <x v="1"/>
    <d v="2026-09-18T00:00:00"/>
    <d v="1899-12-30T10:45:00"/>
    <n v="65"/>
    <n v="68"/>
    <n v="6"/>
    <s v="Airport Express"/>
    <n v="32"/>
    <n v="14"/>
    <x v="1"/>
    <x v="3"/>
    <n v="0"/>
    <n v="0"/>
    <s v=""/>
    <n v="1"/>
    <n v="1"/>
    <n v="0"/>
    <x v="3"/>
    <n v="1"/>
    <x v="0"/>
    <n v="2.0299999999999998"/>
  </r>
  <r>
    <s v="T1060"/>
    <x v="4"/>
    <d v="2026-09-14T00:00:00"/>
    <d v="1899-12-30T22:15:00"/>
    <n v="103"/>
    <n v="104"/>
    <n v="6"/>
    <s v="Suburban Link"/>
    <n v="24.8"/>
    <n v="28"/>
    <x v="4"/>
    <x v="5"/>
    <n v="0"/>
    <n v="0"/>
    <s v=""/>
    <n v="1"/>
    <n v="1"/>
    <n v="4"/>
    <x v="11"/>
    <n v="0"/>
    <x v="0"/>
    <n v="4.1500000000000004"/>
  </r>
  <r>
    <s v="T1061"/>
    <x v="3"/>
    <d v="2026-09-21T00:00:00"/>
    <d v="1899-12-30T06:00:00"/>
    <n v="93"/>
    <n v="87"/>
    <n v="4"/>
    <s v="Corridor North"/>
    <n v="18.5"/>
    <n v="22"/>
    <x v="3"/>
    <x v="5"/>
    <n v="0"/>
    <n v="0"/>
    <s v=""/>
    <n v="1"/>
    <n v="1"/>
    <n v="2"/>
    <x v="12"/>
    <n v="0"/>
    <x v="0"/>
    <n v="5.03"/>
  </r>
  <r>
    <s v="T1062"/>
    <x v="3"/>
    <d v="2026-09-24T00:00:00"/>
    <d v="1899-12-30T09:45:00"/>
    <n v="111"/>
    <n v="102"/>
    <n v="3"/>
    <s v="Corridor North"/>
    <n v="18.5"/>
    <n v="22"/>
    <x v="3"/>
    <x v="4"/>
    <n v="0"/>
    <n v="0"/>
    <s v=""/>
    <n v="1"/>
    <n v="1"/>
    <n v="5"/>
    <x v="4"/>
    <n v="1"/>
    <x v="0"/>
    <n v="6"/>
  </r>
  <r>
    <s v="T1063"/>
    <x v="3"/>
    <d v="2026-09-11T00:00:00"/>
    <d v="1899-12-30T05:30:00"/>
    <n v="174"/>
    <n v="167"/>
    <n v="4"/>
    <s v="Corridor North"/>
    <n v="18.5"/>
    <n v="22"/>
    <x v="3"/>
    <x v="3"/>
    <n v="0"/>
    <n v="0"/>
    <s v=""/>
    <n v="1"/>
    <n v="1"/>
    <n v="0"/>
    <x v="16"/>
    <n v="0"/>
    <x v="0"/>
    <n v="9.41"/>
  </r>
  <r>
    <s v="T1064"/>
    <x v="3"/>
    <d v="2026-09-09T00:00:00"/>
    <d v="1899-12-30T07:15:00"/>
    <n v="129"/>
    <n v="129"/>
    <n v="5"/>
    <s v="Corridor North"/>
    <n v="18.5"/>
    <n v="22"/>
    <x v="3"/>
    <x v="6"/>
    <n v="0"/>
    <n v="0"/>
    <s v=""/>
    <n v="1"/>
    <n v="1"/>
    <n v="4"/>
    <x v="6"/>
    <n v="0"/>
    <x v="0"/>
    <n v="6.97"/>
  </r>
  <r>
    <s v="T1065"/>
    <x v="2"/>
    <d v="2026-09-02T00:00:00"/>
    <d v="1899-12-30T09:00:00"/>
    <n v="134"/>
    <n v="144"/>
    <n v="6"/>
    <s v="Downtown Loop"/>
    <n v="12.2"/>
    <n v="18"/>
    <x v="2"/>
    <x v="6"/>
    <n v="0"/>
    <n v="0"/>
    <s v=""/>
    <n v="1"/>
    <n v="1"/>
    <n v="2"/>
    <x v="4"/>
    <n v="1"/>
    <x v="0"/>
    <n v="10.98"/>
  </r>
  <r>
    <s v="T1066"/>
    <x v="3"/>
    <d v="2026-09-12T00:00:00"/>
    <d v="1899-12-30T09:00:00"/>
    <n v="149"/>
    <n v="151"/>
    <n v="4"/>
    <s v="Corridor North"/>
    <n v="18.5"/>
    <n v="22"/>
    <x v="3"/>
    <x v="1"/>
    <n v="1"/>
    <n v="0"/>
    <s v="Tech Expo"/>
    <n v="1"/>
    <n v="1"/>
    <n v="4"/>
    <x v="4"/>
    <n v="1"/>
    <x v="1"/>
    <n v="8.0500000000000007"/>
  </r>
  <r>
    <s v="T1067"/>
    <x v="1"/>
    <d v="2026-09-03T00:00:00"/>
    <d v="1899-12-30T21:30:00"/>
    <n v="37"/>
    <n v="39"/>
    <n v="4"/>
    <s v="Airport Express"/>
    <n v="32"/>
    <n v="14"/>
    <x v="1"/>
    <x v="4"/>
    <n v="0"/>
    <n v="0"/>
    <s v=""/>
    <n v="1"/>
    <n v="0"/>
    <n v="2"/>
    <x v="10"/>
    <n v="0"/>
    <x v="0"/>
    <n v="1.1599999999999999"/>
  </r>
  <r>
    <s v="T1068"/>
    <x v="1"/>
    <d v="2026-09-03T00:00:00"/>
    <d v="1899-12-30T18:45:00"/>
    <n v="190"/>
    <n v="193"/>
    <n v="6"/>
    <s v="Airport Express"/>
    <n v="32"/>
    <n v="14"/>
    <x v="1"/>
    <x v="4"/>
    <n v="0"/>
    <n v="0"/>
    <s v=""/>
    <n v="1"/>
    <n v="1"/>
    <n v="7"/>
    <x v="0"/>
    <n v="1"/>
    <x v="0"/>
    <n v="5.94"/>
  </r>
  <r>
    <s v="T1069"/>
    <x v="0"/>
    <d v="2026-09-01T00:00:00"/>
    <d v="1899-12-30T14:45:00"/>
    <n v="137"/>
    <n v="134"/>
    <n v="7"/>
    <s v="Tech Park Shuttle"/>
    <n v="15"/>
    <n v="16"/>
    <x v="0"/>
    <x v="0"/>
    <n v="0"/>
    <n v="0"/>
    <s v=""/>
    <n v="1"/>
    <n v="1"/>
    <n v="1"/>
    <x v="7"/>
    <n v="0"/>
    <x v="0"/>
    <n v="9.1300000000000008"/>
  </r>
  <r>
    <s v="T1070"/>
    <x v="1"/>
    <d v="2026-09-08T00:00:00"/>
    <d v="1899-12-30T22:45:00"/>
    <n v="41"/>
    <n v="48"/>
    <n v="3"/>
    <s v="Airport Express"/>
    <n v="32"/>
    <n v="14"/>
    <x v="1"/>
    <x v="0"/>
    <n v="0"/>
    <n v="0"/>
    <s v=""/>
    <n v="1"/>
    <n v="1"/>
    <n v="0"/>
    <x v="11"/>
    <n v="0"/>
    <x v="0"/>
    <n v="1.28"/>
  </r>
  <r>
    <s v="T1071"/>
    <x v="0"/>
    <d v="2026-09-22T00:00:00"/>
    <d v="1899-12-30T15:15:00"/>
    <n v="121"/>
    <n v="130"/>
    <n v="6"/>
    <s v="Tech Park Shuttle"/>
    <n v="15"/>
    <n v="16"/>
    <x v="0"/>
    <x v="0"/>
    <n v="0"/>
    <n v="0"/>
    <s v=""/>
    <n v="1"/>
    <n v="1"/>
    <n v="8"/>
    <x v="17"/>
    <n v="0"/>
    <x v="0"/>
    <n v="8.07"/>
  </r>
  <r>
    <s v="T1072"/>
    <x v="1"/>
    <d v="2026-09-28T00:00:00"/>
    <d v="1899-12-30T06:00:00"/>
    <n v="100"/>
    <n v="90"/>
    <n v="4"/>
    <s v="Airport Express"/>
    <n v="32"/>
    <n v="14"/>
    <x v="1"/>
    <x v="5"/>
    <n v="0"/>
    <n v="0"/>
    <s v=""/>
    <n v="1"/>
    <n v="1"/>
    <n v="31"/>
    <x v="12"/>
    <n v="0"/>
    <x v="0"/>
    <n v="3.12"/>
  </r>
  <r>
    <s v="T1073"/>
    <x v="2"/>
    <d v="2026-09-29T00:00:00"/>
    <d v="1899-12-30T22:00:00"/>
    <n v="92"/>
    <n v="84"/>
    <n v="3"/>
    <s v="Downtown Loop"/>
    <n v="12.2"/>
    <n v="18"/>
    <x v="2"/>
    <x v="0"/>
    <n v="0"/>
    <n v="0"/>
    <s v=""/>
    <n v="1"/>
    <n v="1"/>
    <n v="9"/>
    <x v="11"/>
    <n v="0"/>
    <x v="0"/>
    <n v="7.54"/>
  </r>
  <r>
    <s v="T1074"/>
    <x v="0"/>
    <d v="2026-09-08T00:00:00"/>
    <d v="1899-12-30T11:30:00"/>
    <n v="38"/>
    <n v="33"/>
    <n v="3"/>
    <s v="Tech Park Shuttle"/>
    <n v="15"/>
    <n v="16"/>
    <x v="0"/>
    <x v="0"/>
    <n v="0"/>
    <n v="0"/>
    <s v=""/>
    <n v="1"/>
    <n v="1"/>
    <n v="2"/>
    <x v="9"/>
    <n v="0"/>
    <x v="0"/>
    <n v="2.5299999999999998"/>
  </r>
  <r>
    <s v="T1075"/>
    <x v="1"/>
    <d v="2026-09-11T00:00:00"/>
    <d v="1899-12-30T19:30:00"/>
    <n v="147"/>
    <n v="148"/>
    <n v="7"/>
    <s v="Airport Express"/>
    <n v="32"/>
    <n v="14"/>
    <x v="1"/>
    <x v="3"/>
    <n v="0"/>
    <n v="0"/>
    <s v=""/>
    <n v="1"/>
    <n v="1"/>
    <n v="4"/>
    <x v="8"/>
    <n v="1"/>
    <x v="0"/>
    <n v="4.59"/>
  </r>
  <r>
    <s v="T1076"/>
    <x v="4"/>
    <d v="2026-09-09T00:00:00"/>
    <d v="1899-12-30T22:30:00"/>
    <n v="115"/>
    <n v="109"/>
    <n v="4"/>
    <s v="Suburban Link"/>
    <n v="24.8"/>
    <n v="28"/>
    <x v="4"/>
    <x v="6"/>
    <n v="0"/>
    <n v="0"/>
    <s v=""/>
    <n v="1"/>
    <n v="1"/>
    <n v="2"/>
    <x v="11"/>
    <n v="0"/>
    <x v="0"/>
    <n v="4.6399999999999997"/>
  </r>
  <r>
    <s v="T1077"/>
    <x v="3"/>
    <d v="2026-09-05T00:00:00"/>
    <d v="1899-12-30T16:15:00"/>
    <n v="131"/>
    <n v="137"/>
    <n v="5"/>
    <s v="Corridor North"/>
    <n v="18.5"/>
    <n v="22"/>
    <x v="3"/>
    <x v="1"/>
    <n v="1"/>
    <n v="1"/>
    <s v=""/>
    <n v="1"/>
    <n v="1"/>
    <n v="4"/>
    <x v="2"/>
    <n v="0"/>
    <x v="0"/>
    <n v="7.08"/>
  </r>
  <r>
    <s v="T1078"/>
    <x v="1"/>
    <d v="2026-09-14T00:00:00"/>
    <d v="1899-12-30T17:45:00"/>
    <n v="127"/>
    <n v="122"/>
    <n v="5"/>
    <s v="Airport Express"/>
    <n v="32"/>
    <n v="14"/>
    <x v="1"/>
    <x v="5"/>
    <n v="0"/>
    <n v="0"/>
    <s v=""/>
    <n v="1"/>
    <n v="1"/>
    <n v="1"/>
    <x v="1"/>
    <n v="1"/>
    <x v="0"/>
    <n v="3.97"/>
  </r>
  <r>
    <s v="T1079"/>
    <x v="3"/>
    <d v="2026-09-28T00:00:00"/>
    <d v="1899-12-30T20:15:00"/>
    <n v="94"/>
    <n v="90"/>
    <n v="4"/>
    <s v="Corridor North"/>
    <n v="18.5"/>
    <n v="22"/>
    <x v="3"/>
    <x v="5"/>
    <n v="0"/>
    <n v="0"/>
    <s v=""/>
    <n v="1"/>
    <n v="1"/>
    <n v="7"/>
    <x v="15"/>
    <n v="0"/>
    <x v="0"/>
    <n v="5.08"/>
  </r>
  <r>
    <s v="T1080"/>
    <x v="1"/>
    <d v="2026-09-30T00:00:00"/>
    <d v="1899-12-30T14:45:00"/>
    <n v="168"/>
    <n v="166"/>
    <n v="6"/>
    <s v="Airport Express"/>
    <n v="32"/>
    <n v="14"/>
    <x v="1"/>
    <x v="6"/>
    <n v="0"/>
    <n v="0"/>
    <s v=""/>
    <n v="1"/>
    <n v="1"/>
    <n v="4"/>
    <x v="7"/>
    <n v="0"/>
    <x v="0"/>
    <n v="5.25"/>
  </r>
  <r>
    <s v="T1081"/>
    <x v="3"/>
    <d v="2026-09-03T00:00:00"/>
    <d v="1899-12-30T12:15:00"/>
    <n v="111"/>
    <n v="108"/>
    <n v="6"/>
    <s v="Corridor North"/>
    <n v="18.5"/>
    <n v="22"/>
    <x v="3"/>
    <x v="4"/>
    <n v="0"/>
    <n v="0"/>
    <s v=""/>
    <n v="1"/>
    <n v="1"/>
    <n v="0"/>
    <x v="14"/>
    <n v="0"/>
    <x v="0"/>
    <n v="6"/>
  </r>
  <r>
    <s v="T1082"/>
    <x v="4"/>
    <d v="2026-09-21T00:00:00"/>
    <d v="1899-12-30T05:30:00"/>
    <n v="84"/>
    <n v="81"/>
    <n v="5"/>
    <s v="Suburban Link"/>
    <n v="24.8"/>
    <n v="28"/>
    <x v="4"/>
    <x v="5"/>
    <n v="0"/>
    <n v="0"/>
    <s v=""/>
    <n v="1"/>
    <n v="1"/>
    <n v="14"/>
    <x v="16"/>
    <n v="0"/>
    <x v="0"/>
    <n v="3.39"/>
  </r>
  <r>
    <s v="T1083"/>
    <x v="4"/>
    <d v="2026-09-05T00:00:00"/>
    <d v="1899-12-30T12:00:00"/>
    <n v="140"/>
    <n v="144"/>
    <n v="5"/>
    <s v="Suburban Link"/>
    <n v="24.8"/>
    <n v="28"/>
    <x v="4"/>
    <x v="1"/>
    <n v="1"/>
    <n v="1"/>
    <s v=""/>
    <n v="1"/>
    <n v="1"/>
    <n v="3"/>
    <x v="14"/>
    <n v="0"/>
    <x v="0"/>
    <n v="5.65"/>
  </r>
  <r>
    <s v="T1084"/>
    <x v="4"/>
    <d v="2026-09-05T00:00:00"/>
    <d v="1899-12-30T10:00:00"/>
    <n v="88"/>
    <n v="99"/>
    <n v="3"/>
    <s v="Suburban Link"/>
    <n v="24.8"/>
    <n v="28"/>
    <x v="4"/>
    <x v="1"/>
    <n v="1"/>
    <n v="1"/>
    <s v=""/>
    <n v="1"/>
    <n v="1"/>
    <n v="0"/>
    <x v="3"/>
    <n v="1"/>
    <x v="0"/>
    <n v="3.55"/>
  </r>
  <r>
    <s v="T1085"/>
    <x v="3"/>
    <d v="2026-09-19T00:00:00"/>
    <d v="1899-12-30T19:15:00"/>
    <n v="111"/>
    <n v="107"/>
    <n v="5"/>
    <s v="Corridor North"/>
    <n v="18.5"/>
    <n v="22"/>
    <x v="3"/>
    <x v="1"/>
    <n v="1"/>
    <n v="1"/>
    <s v=""/>
    <n v="1"/>
    <n v="1"/>
    <n v="2"/>
    <x v="8"/>
    <n v="1"/>
    <x v="0"/>
    <n v="6"/>
  </r>
  <r>
    <s v="T1086"/>
    <x v="1"/>
    <d v="2026-09-27T00:00:00"/>
    <d v="1899-12-30T19:15:00"/>
    <n v="97"/>
    <n v="91"/>
    <n v="5"/>
    <s v="Airport Express"/>
    <n v="32"/>
    <n v="14"/>
    <x v="1"/>
    <x v="2"/>
    <n v="1"/>
    <n v="0"/>
    <s v="Music Fest"/>
    <n v="1"/>
    <n v="1"/>
    <n v="4"/>
    <x v="8"/>
    <n v="1"/>
    <x v="1"/>
    <n v="3.03"/>
  </r>
  <r>
    <s v="T1087"/>
    <x v="4"/>
    <d v="2026-09-14T00:00:00"/>
    <d v="1899-12-30T05:30:00"/>
    <n v="118"/>
    <n v="118"/>
    <n v="4"/>
    <s v="Suburban Link"/>
    <n v="24.8"/>
    <n v="28"/>
    <x v="4"/>
    <x v="5"/>
    <n v="0"/>
    <n v="0"/>
    <s v=""/>
    <n v="1"/>
    <n v="1"/>
    <n v="4"/>
    <x v="16"/>
    <n v="0"/>
    <x v="0"/>
    <n v="4.76"/>
  </r>
  <r>
    <s v="T1088"/>
    <x v="2"/>
    <d v="2026-09-26T00:00:00"/>
    <d v="1899-12-30T15:15:00"/>
    <n v="173"/>
    <n v="166"/>
    <n v="6"/>
    <s v="Downtown Loop"/>
    <n v="12.2"/>
    <n v="18"/>
    <x v="2"/>
    <x v="1"/>
    <n v="1"/>
    <n v="0"/>
    <s v=""/>
    <n v="1"/>
    <n v="1"/>
    <n v="5"/>
    <x v="17"/>
    <n v="0"/>
    <x v="0"/>
    <n v="14.18"/>
  </r>
  <r>
    <s v="T1089"/>
    <x v="0"/>
    <d v="2026-09-30T00:00:00"/>
    <d v="1899-12-30T22:15:00"/>
    <n v="185"/>
    <n v="174"/>
    <n v="7"/>
    <s v="Tech Park Shuttle"/>
    <n v="15"/>
    <n v="16"/>
    <x v="0"/>
    <x v="6"/>
    <n v="0"/>
    <n v="0"/>
    <s v=""/>
    <n v="1"/>
    <n v="1"/>
    <n v="2"/>
    <x v="11"/>
    <n v="0"/>
    <x v="0"/>
    <n v="12.33"/>
  </r>
  <r>
    <s v="T1090"/>
    <x v="3"/>
    <d v="2026-09-04T00:00:00"/>
    <d v="1899-12-30T21:15:00"/>
    <n v="184"/>
    <n v="178"/>
    <n v="4"/>
    <s v="Corridor North"/>
    <n v="18.5"/>
    <n v="22"/>
    <x v="3"/>
    <x v="3"/>
    <n v="0"/>
    <n v="0"/>
    <s v=""/>
    <n v="1"/>
    <n v="1"/>
    <n v="2"/>
    <x v="10"/>
    <n v="0"/>
    <x v="0"/>
    <n v="9.9499999999999993"/>
  </r>
  <r>
    <s v="T1091"/>
    <x v="3"/>
    <d v="2026-09-25T00:00:00"/>
    <d v="1899-12-30T12:30:00"/>
    <n v="50"/>
    <n v="49"/>
    <n v="4"/>
    <s v="Corridor North"/>
    <n v="18.5"/>
    <n v="22"/>
    <x v="3"/>
    <x v="3"/>
    <n v="0"/>
    <n v="0"/>
    <s v=""/>
    <n v="1"/>
    <n v="1"/>
    <n v="0"/>
    <x v="14"/>
    <n v="0"/>
    <x v="0"/>
    <n v="2.7"/>
  </r>
  <r>
    <s v="T1092"/>
    <x v="1"/>
    <d v="2026-09-13T00:00:00"/>
    <d v="1899-12-30T12:00:00"/>
    <n v="119"/>
    <n v="104"/>
    <n v="5"/>
    <s v="Airport Express"/>
    <n v="32"/>
    <n v="14"/>
    <x v="1"/>
    <x v="2"/>
    <n v="1"/>
    <n v="0"/>
    <s v=""/>
    <n v="1"/>
    <n v="1"/>
    <n v="1"/>
    <x v="14"/>
    <n v="0"/>
    <x v="0"/>
    <n v="3.72"/>
  </r>
  <r>
    <s v="T1093"/>
    <x v="3"/>
    <d v="2026-09-10T00:00:00"/>
    <d v="1899-12-30T16:30:00"/>
    <n v="142"/>
    <n v="131"/>
    <n v="6"/>
    <s v="Corridor North"/>
    <n v="18.5"/>
    <n v="22"/>
    <x v="3"/>
    <x v="4"/>
    <n v="0"/>
    <n v="0"/>
    <s v=""/>
    <n v="1"/>
    <n v="1"/>
    <n v="4"/>
    <x v="2"/>
    <n v="0"/>
    <x v="0"/>
    <n v="7.68"/>
  </r>
  <r>
    <s v="T1094"/>
    <x v="3"/>
    <d v="2026-09-25T00:00:00"/>
    <d v="1899-12-30T12:00:00"/>
    <n v="128"/>
    <n v="126"/>
    <n v="4"/>
    <s v="Corridor North"/>
    <n v="18.5"/>
    <n v="22"/>
    <x v="3"/>
    <x v="3"/>
    <n v="0"/>
    <n v="0"/>
    <s v=""/>
    <n v="1"/>
    <n v="1"/>
    <n v="0"/>
    <x v="14"/>
    <n v="0"/>
    <x v="0"/>
    <n v="6.92"/>
  </r>
  <r>
    <s v="T1095"/>
    <x v="4"/>
    <d v="2026-09-18T00:00:00"/>
    <d v="1899-12-30T18:45:00"/>
    <n v="78"/>
    <n v="77"/>
    <n v="4"/>
    <s v="Suburban Link"/>
    <n v="24.8"/>
    <n v="28"/>
    <x v="4"/>
    <x v="3"/>
    <n v="0"/>
    <n v="0"/>
    <s v=""/>
    <n v="1"/>
    <n v="1"/>
    <n v="5"/>
    <x v="0"/>
    <n v="1"/>
    <x v="0"/>
    <n v="3.15"/>
  </r>
  <r>
    <s v="T1096"/>
    <x v="1"/>
    <d v="2026-09-08T00:00:00"/>
    <d v="1899-12-30T05:00:00"/>
    <n v="132"/>
    <n v="126"/>
    <n v="4"/>
    <s v="Airport Express"/>
    <n v="32"/>
    <n v="14"/>
    <x v="1"/>
    <x v="0"/>
    <n v="0"/>
    <n v="0"/>
    <s v=""/>
    <n v="1"/>
    <n v="1"/>
    <n v="1"/>
    <x v="16"/>
    <n v="0"/>
    <x v="0"/>
    <n v="4.12"/>
  </r>
  <r>
    <s v="T1097"/>
    <x v="4"/>
    <d v="2026-09-08T00:00:00"/>
    <d v="1899-12-30T20:15:00"/>
    <n v="104"/>
    <n v="120"/>
    <n v="5"/>
    <s v="Suburban Link"/>
    <n v="24.8"/>
    <n v="28"/>
    <x v="4"/>
    <x v="0"/>
    <n v="0"/>
    <n v="0"/>
    <s v=""/>
    <n v="1"/>
    <n v="1"/>
    <n v="2"/>
    <x v="15"/>
    <n v="0"/>
    <x v="0"/>
    <n v="4.1900000000000004"/>
  </r>
  <r>
    <s v="T1098"/>
    <x v="0"/>
    <d v="2026-09-07T00:00:00"/>
    <d v="1899-12-30T20:00:00"/>
    <n v="68"/>
    <n v="62"/>
    <n v="4"/>
    <s v="Tech Park Shuttle"/>
    <n v="15"/>
    <n v="16"/>
    <x v="0"/>
    <x v="5"/>
    <n v="0"/>
    <n v="0"/>
    <s v=""/>
    <n v="1"/>
    <n v="1"/>
    <n v="4"/>
    <x v="15"/>
    <n v="0"/>
    <x v="0"/>
    <n v="4.53"/>
  </r>
  <r>
    <s v="T1099"/>
    <x v="0"/>
    <d v="2026-09-08T00:00:00"/>
    <d v="1899-12-30T13:15:00"/>
    <n v="110"/>
    <n v="103"/>
    <n v="6"/>
    <s v="Tech Park Shuttle"/>
    <n v="15"/>
    <n v="16"/>
    <x v="0"/>
    <x v="0"/>
    <n v="0"/>
    <n v="0"/>
    <s v=""/>
    <n v="1"/>
    <n v="1"/>
    <n v="19"/>
    <x v="5"/>
    <n v="0"/>
    <x v="0"/>
    <n v="7.33"/>
  </r>
  <r>
    <s v="T1100"/>
    <x v="4"/>
    <d v="2026-09-14T00:00:00"/>
    <d v="1899-12-30T06:15:00"/>
    <n v="156"/>
    <n v="145"/>
    <n v="6"/>
    <s v="Suburban Link"/>
    <n v="24.8"/>
    <n v="28"/>
    <x v="4"/>
    <x v="5"/>
    <n v="0"/>
    <n v="0"/>
    <s v=""/>
    <n v="1"/>
    <n v="1"/>
    <n v="3"/>
    <x v="12"/>
    <n v="0"/>
    <x v="0"/>
    <n v="6.29"/>
  </r>
  <r>
    <s v="T1101"/>
    <x v="0"/>
    <d v="2026-09-19T00:00:00"/>
    <d v="1899-12-30T10:30:00"/>
    <n v="185"/>
    <n v="165"/>
    <n v="6"/>
    <s v="Tech Park Shuttle"/>
    <n v="15"/>
    <n v="16"/>
    <x v="0"/>
    <x v="1"/>
    <n v="1"/>
    <n v="1"/>
    <s v=""/>
    <n v="1"/>
    <n v="1"/>
    <n v="9"/>
    <x v="3"/>
    <n v="1"/>
    <x v="0"/>
    <n v="12.33"/>
  </r>
  <r>
    <s v="T1102"/>
    <x v="1"/>
    <d v="2026-09-29T00:00:00"/>
    <d v="1899-12-30T13:00:00"/>
    <n v="79"/>
    <n v="75"/>
    <n v="5"/>
    <s v="Airport Express"/>
    <n v="32"/>
    <n v="14"/>
    <x v="1"/>
    <x v="0"/>
    <n v="0"/>
    <n v="0"/>
    <s v=""/>
    <n v="1"/>
    <n v="1"/>
    <n v="7"/>
    <x v="5"/>
    <n v="0"/>
    <x v="0"/>
    <n v="2.4700000000000002"/>
  </r>
  <r>
    <s v="T1103"/>
    <x v="3"/>
    <d v="2026-09-06T00:00:00"/>
    <d v="1899-12-30T13:00:00"/>
    <n v="143"/>
    <n v="136"/>
    <n v="7"/>
    <s v="Corridor North"/>
    <n v="18.5"/>
    <n v="22"/>
    <x v="3"/>
    <x v="2"/>
    <n v="1"/>
    <n v="0"/>
    <s v=""/>
    <n v="1"/>
    <n v="1"/>
    <n v="3"/>
    <x v="5"/>
    <n v="0"/>
    <x v="0"/>
    <n v="7.73"/>
  </r>
  <r>
    <s v="T1104"/>
    <x v="4"/>
    <d v="2026-09-01T00:00:00"/>
    <d v="1899-12-30T20:00:00"/>
    <n v="55"/>
    <n v="48"/>
    <n v="4"/>
    <s v="Suburban Link"/>
    <n v="24.8"/>
    <n v="28"/>
    <x v="4"/>
    <x v="0"/>
    <n v="0"/>
    <n v="0"/>
    <s v=""/>
    <n v="1"/>
    <n v="1"/>
    <n v="6"/>
    <x v="15"/>
    <n v="0"/>
    <x v="0"/>
    <n v="2.2200000000000002"/>
  </r>
  <r>
    <s v="T1105"/>
    <x v="2"/>
    <d v="2026-09-23T00:00:00"/>
    <d v="1899-12-30T13:00:00"/>
    <n v="147"/>
    <n v="151"/>
    <n v="6"/>
    <s v="Downtown Loop"/>
    <n v="12.2"/>
    <n v="18"/>
    <x v="2"/>
    <x v="6"/>
    <n v="0"/>
    <n v="0"/>
    <s v=""/>
    <n v="1"/>
    <n v="1"/>
    <n v="0"/>
    <x v="5"/>
    <n v="0"/>
    <x v="0"/>
    <n v="12.05"/>
  </r>
  <r>
    <s v="T1106"/>
    <x v="2"/>
    <d v="2026-09-15T00:00:00"/>
    <d v="1899-12-30T17:30:00"/>
    <n v="68"/>
    <n v="70"/>
    <n v="4"/>
    <s v="Downtown Loop"/>
    <n v="12.2"/>
    <n v="18"/>
    <x v="2"/>
    <x v="0"/>
    <n v="0"/>
    <n v="0"/>
    <s v=""/>
    <n v="1"/>
    <n v="1"/>
    <n v="2"/>
    <x v="1"/>
    <n v="1"/>
    <x v="0"/>
    <n v="5.57"/>
  </r>
  <r>
    <s v="T1107"/>
    <x v="3"/>
    <d v="2026-09-01T00:00:00"/>
    <d v="1899-12-30T13:30:00"/>
    <n v="113"/>
    <n v="107"/>
    <n v="5"/>
    <s v="Corridor North"/>
    <n v="18.5"/>
    <n v="22"/>
    <x v="3"/>
    <x v="0"/>
    <n v="0"/>
    <n v="0"/>
    <s v=""/>
    <n v="1"/>
    <n v="1"/>
    <n v="1"/>
    <x v="5"/>
    <n v="0"/>
    <x v="0"/>
    <n v="6.11"/>
  </r>
  <r>
    <s v="T1108"/>
    <x v="0"/>
    <d v="2026-09-25T00:00:00"/>
    <d v="1899-12-30T08:15:00"/>
    <n v="85"/>
    <n v="88"/>
    <n v="5"/>
    <s v="Tech Park Shuttle"/>
    <n v="15"/>
    <n v="16"/>
    <x v="0"/>
    <x v="3"/>
    <n v="0"/>
    <n v="0"/>
    <s v=""/>
    <n v="1"/>
    <n v="1"/>
    <n v="3"/>
    <x v="13"/>
    <n v="1"/>
    <x v="0"/>
    <n v="5.67"/>
  </r>
  <r>
    <s v="T1109"/>
    <x v="2"/>
    <d v="2026-09-17T00:00:00"/>
    <d v="1899-12-30T10:15:00"/>
    <n v="167"/>
    <n v="173"/>
    <n v="7"/>
    <s v="Downtown Loop"/>
    <n v="12.2"/>
    <n v="18"/>
    <x v="2"/>
    <x v="4"/>
    <n v="0"/>
    <n v="0"/>
    <s v=""/>
    <n v="1"/>
    <n v="1"/>
    <n v="4"/>
    <x v="3"/>
    <n v="1"/>
    <x v="0"/>
    <n v="13.69"/>
  </r>
  <r>
    <s v="T1110"/>
    <x v="3"/>
    <d v="2026-09-01T00:00:00"/>
    <d v="1899-12-30T08:15:00"/>
    <n v="127"/>
    <n v="115"/>
    <n v="5"/>
    <s v="Corridor North"/>
    <n v="18.5"/>
    <n v="22"/>
    <x v="3"/>
    <x v="0"/>
    <n v="0"/>
    <n v="0"/>
    <s v=""/>
    <n v="1"/>
    <n v="1"/>
    <n v="4"/>
    <x v="13"/>
    <n v="1"/>
    <x v="0"/>
    <n v="6.86"/>
  </r>
  <r>
    <s v="T1111"/>
    <x v="3"/>
    <d v="2026-09-15T00:00:00"/>
    <d v="1899-12-30T10:15:00"/>
    <n v="217"/>
    <n v="224"/>
    <n v="6"/>
    <s v="Corridor North"/>
    <n v="18.5"/>
    <n v="22"/>
    <x v="3"/>
    <x v="0"/>
    <n v="0"/>
    <n v="0"/>
    <s v=""/>
    <n v="1"/>
    <n v="1"/>
    <n v="2"/>
    <x v="3"/>
    <n v="1"/>
    <x v="0"/>
    <n v="11.73"/>
  </r>
  <r>
    <s v="T1112"/>
    <x v="1"/>
    <d v="2026-09-23T00:00:00"/>
    <d v="1899-12-30T22:00:00"/>
    <n v="28"/>
    <n v="22"/>
    <n v="3"/>
    <s v="Airport Express"/>
    <n v="32"/>
    <n v="14"/>
    <x v="1"/>
    <x v="6"/>
    <n v="0"/>
    <n v="0"/>
    <s v=""/>
    <n v="1"/>
    <n v="1"/>
    <n v="3"/>
    <x v="11"/>
    <n v="0"/>
    <x v="0"/>
    <n v="0.88"/>
  </r>
  <r>
    <s v="T1113"/>
    <x v="1"/>
    <d v="2026-09-02T00:00:00"/>
    <d v="1899-12-30T13:30:00"/>
    <n v="69"/>
    <n v="63"/>
    <n v="4"/>
    <s v="Airport Express"/>
    <n v="32"/>
    <n v="14"/>
    <x v="1"/>
    <x v="6"/>
    <n v="0"/>
    <n v="0"/>
    <s v=""/>
    <n v="1"/>
    <n v="1"/>
    <n v="0"/>
    <x v="5"/>
    <n v="0"/>
    <x v="0"/>
    <n v="2.16"/>
  </r>
  <r>
    <s v="T1114"/>
    <x v="1"/>
    <d v="2026-09-14T00:00:00"/>
    <d v="1899-12-30T17:30:00"/>
    <n v="203"/>
    <n v="205"/>
    <n v="6"/>
    <s v="Airport Express"/>
    <n v="32"/>
    <n v="14"/>
    <x v="1"/>
    <x v="5"/>
    <n v="0"/>
    <n v="0"/>
    <s v=""/>
    <n v="1"/>
    <n v="1"/>
    <n v="13"/>
    <x v="1"/>
    <n v="1"/>
    <x v="0"/>
    <n v="6.34"/>
  </r>
  <r>
    <s v="T1115"/>
    <x v="2"/>
    <d v="2026-09-21T00:00:00"/>
    <d v="1899-12-30T05:45:00"/>
    <n v="24"/>
    <n v="23"/>
    <n v="3"/>
    <s v="Downtown Loop"/>
    <n v="12.2"/>
    <n v="18"/>
    <x v="2"/>
    <x v="5"/>
    <n v="0"/>
    <n v="0"/>
    <s v=""/>
    <n v="1"/>
    <n v="1"/>
    <n v="1"/>
    <x v="16"/>
    <n v="0"/>
    <x v="0"/>
    <n v="1.97"/>
  </r>
  <r>
    <s v="T1116"/>
    <x v="3"/>
    <d v="2026-09-08T00:00:00"/>
    <d v="1899-12-30T11:00:00"/>
    <n v="111"/>
    <n v="112"/>
    <n v="7"/>
    <s v="Corridor North"/>
    <n v="18.5"/>
    <n v="22"/>
    <x v="3"/>
    <x v="0"/>
    <n v="0"/>
    <n v="0"/>
    <s v=""/>
    <n v="1"/>
    <n v="1"/>
    <n v="5"/>
    <x v="9"/>
    <n v="0"/>
    <x v="0"/>
    <n v="6"/>
  </r>
  <r>
    <s v="T1117"/>
    <x v="2"/>
    <d v="2026-09-08T00:00:00"/>
    <d v="1899-12-30T19:00:00"/>
    <n v="122"/>
    <n v="124"/>
    <n v="7"/>
    <s v="Downtown Loop"/>
    <n v="12.2"/>
    <n v="18"/>
    <x v="2"/>
    <x v="0"/>
    <n v="0"/>
    <n v="0"/>
    <s v=""/>
    <n v="1"/>
    <n v="1"/>
    <n v="2"/>
    <x v="8"/>
    <n v="1"/>
    <x v="0"/>
    <n v="10"/>
  </r>
  <r>
    <s v="T1118"/>
    <x v="0"/>
    <d v="2026-09-19T00:00:00"/>
    <d v="1899-12-30T16:15:00"/>
    <n v="103"/>
    <n v="108"/>
    <n v="4"/>
    <s v="Tech Park Shuttle"/>
    <n v="15"/>
    <n v="16"/>
    <x v="0"/>
    <x v="1"/>
    <n v="1"/>
    <n v="1"/>
    <s v=""/>
    <n v="1"/>
    <n v="1"/>
    <n v="12"/>
    <x v="2"/>
    <n v="0"/>
    <x v="0"/>
    <n v="6.87"/>
  </r>
  <r>
    <s v="T1119"/>
    <x v="2"/>
    <d v="2026-09-07T00:00:00"/>
    <d v="1899-12-30T11:30:00"/>
    <n v="94"/>
    <n v="97"/>
    <n v="4"/>
    <s v="Downtown Loop"/>
    <n v="12.2"/>
    <n v="18"/>
    <x v="2"/>
    <x v="5"/>
    <n v="0"/>
    <n v="0"/>
    <s v=""/>
    <n v="1"/>
    <n v="1"/>
    <n v="0"/>
    <x v="9"/>
    <n v="0"/>
    <x v="0"/>
    <n v="7.7"/>
  </r>
  <r>
    <s v="T1120"/>
    <x v="3"/>
    <d v="2026-09-19T00:00:00"/>
    <d v="1899-12-30T05:00:00"/>
    <n v="96"/>
    <n v="108"/>
    <n v="6"/>
    <s v="Corridor North"/>
    <n v="18.5"/>
    <n v="22"/>
    <x v="3"/>
    <x v="1"/>
    <n v="1"/>
    <n v="1"/>
    <s v=""/>
    <n v="1"/>
    <n v="1"/>
    <n v="0"/>
    <x v="16"/>
    <n v="0"/>
    <x v="0"/>
    <n v="5.19"/>
  </r>
  <r>
    <s v="T1121"/>
    <x v="3"/>
    <d v="2026-09-06T00:00:00"/>
    <d v="1899-12-30T21:30:00"/>
    <n v="65"/>
    <n v="61"/>
    <n v="4"/>
    <s v="Corridor North"/>
    <n v="18.5"/>
    <n v="22"/>
    <x v="3"/>
    <x v="2"/>
    <n v="1"/>
    <n v="0"/>
    <s v=""/>
    <n v="1"/>
    <n v="1"/>
    <n v="4"/>
    <x v="10"/>
    <n v="0"/>
    <x v="0"/>
    <n v="3.51"/>
  </r>
  <r>
    <s v="T1122"/>
    <x v="0"/>
    <d v="2026-09-06T00:00:00"/>
    <d v="1899-12-30T16:15:00"/>
    <n v="50"/>
    <n v="43"/>
    <n v="3"/>
    <s v="Tech Park Shuttle"/>
    <n v="15"/>
    <n v="16"/>
    <x v="0"/>
    <x v="2"/>
    <n v="1"/>
    <n v="0"/>
    <s v=""/>
    <n v="1"/>
    <n v="1"/>
    <n v="1"/>
    <x v="2"/>
    <n v="0"/>
    <x v="0"/>
    <n v="3.33"/>
  </r>
  <r>
    <s v="T1123"/>
    <x v="3"/>
    <d v="2026-09-03T00:00:00"/>
    <d v="1899-12-30T15:30:00"/>
    <n v="46"/>
    <n v="49"/>
    <n v="3"/>
    <s v="Corridor North"/>
    <n v="18.5"/>
    <n v="22"/>
    <x v="3"/>
    <x v="4"/>
    <n v="0"/>
    <n v="0"/>
    <s v=""/>
    <n v="1"/>
    <n v="1"/>
    <n v="4"/>
    <x v="17"/>
    <n v="0"/>
    <x v="0"/>
    <n v="2.4900000000000002"/>
  </r>
  <r>
    <s v="T1124"/>
    <x v="3"/>
    <d v="2026-09-07T00:00:00"/>
    <d v="1899-12-30T12:15:00"/>
    <n v="96"/>
    <n v="89"/>
    <n v="3"/>
    <s v="Corridor North"/>
    <n v="18.5"/>
    <n v="22"/>
    <x v="3"/>
    <x v="5"/>
    <n v="0"/>
    <n v="0"/>
    <s v=""/>
    <n v="1"/>
    <n v="1"/>
    <n v="3"/>
    <x v="14"/>
    <n v="0"/>
    <x v="0"/>
    <n v="5.19"/>
  </r>
  <r>
    <s v="T1125"/>
    <x v="1"/>
    <d v="2026-09-19T00:00:00"/>
    <d v="1899-12-30T18:15:00"/>
    <n v="45"/>
    <n v="52"/>
    <n v="3"/>
    <s v="Airport Express"/>
    <n v="32"/>
    <n v="14"/>
    <x v="1"/>
    <x v="1"/>
    <n v="1"/>
    <n v="1"/>
    <s v=""/>
    <n v="1"/>
    <n v="1"/>
    <n v="1"/>
    <x v="0"/>
    <n v="1"/>
    <x v="0"/>
    <n v="1.41"/>
  </r>
  <r>
    <s v="T1126"/>
    <x v="0"/>
    <d v="2026-09-08T00:00:00"/>
    <d v="1899-12-30T06:15:00"/>
    <n v="189"/>
    <n v="181"/>
    <n v="7"/>
    <s v="Tech Park Shuttle"/>
    <n v="15"/>
    <n v="16"/>
    <x v="0"/>
    <x v="0"/>
    <n v="0"/>
    <n v="0"/>
    <s v=""/>
    <n v="1"/>
    <n v="1"/>
    <n v="1"/>
    <x v="12"/>
    <n v="0"/>
    <x v="0"/>
    <n v="12.6"/>
  </r>
  <r>
    <s v="T1127"/>
    <x v="1"/>
    <d v="2026-09-10T00:00:00"/>
    <d v="1899-12-30T13:30:00"/>
    <n v="166"/>
    <n v="154"/>
    <n v="7"/>
    <s v="Airport Express"/>
    <n v="32"/>
    <n v="14"/>
    <x v="1"/>
    <x v="4"/>
    <n v="0"/>
    <n v="0"/>
    <s v=""/>
    <n v="1"/>
    <n v="1"/>
    <n v="1"/>
    <x v="5"/>
    <n v="0"/>
    <x v="0"/>
    <n v="5.19"/>
  </r>
  <r>
    <s v="T1128"/>
    <x v="1"/>
    <d v="2026-09-20T00:00:00"/>
    <d v="1899-12-30T12:45:00"/>
    <n v="160"/>
    <n v="156"/>
    <n v="7"/>
    <s v="Airport Express"/>
    <n v="32"/>
    <n v="14"/>
    <x v="1"/>
    <x v="2"/>
    <n v="1"/>
    <n v="0"/>
    <s v="Marathon"/>
    <n v="1"/>
    <n v="1"/>
    <n v="0"/>
    <x v="14"/>
    <n v="0"/>
    <x v="1"/>
    <n v="5"/>
  </r>
  <r>
    <s v="T1129"/>
    <x v="3"/>
    <d v="2026-09-15T00:00:00"/>
    <d v="1899-12-30T06:15:00"/>
    <n v="128"/>
    <n v="130"/>
    <n v="3"/>
    <s v="Corridor North"/>
    <n v="18.5"/>
    <n v="22"/>
    <x v="3"/>
    <x v="0"/>
    <n v="0"/>
    <n v="0"/>
    <s v=""/>
    <n v="1"/>
    <n v="1"/>
    <n v="5"/>
    <x v="12"/>
    <n v="0"/>
    <x v="0"/>
    <n v="6.92"/>
  </r>
  <r>
    <s v="T1130"/>
    <x v="1"/>
    <d v="2026-09-15T00:00:00"/>
    <d v="1899-12-30T16:00:00"/>
    <n v="143"/>
    <n v="142"/>
    <n v="6"/>
    <s v="Airport Express"/>
    <n v="32"/>
    <n v="14"/>
    <x v="1"/>
    <x v="0"/>
    <n v="0"/>
    <n v="0"/>
    <s v=""/>
    <n v="1"/>
    <n v="1"/>
    <n v="3"/>
    <x v="2"/>
    <n v="0"/>
    <x v="0"/>
    <n v="4.47"/>
  </r>
  <r>
    <s v="T1131"/>
    <x v="1"/>
    <d v="2026-09-29T00:00:00"/>
    <d v="1899-12-30T06:45:00"/>
    <n v="212"/>
    <n v="204"/>
    <n v="7"/>
    <s v="Airport Express"/>
    <n v="32"/>
    <n v="14"/>
    <x v="1"/>
    <x v="0"/>
    <n v="0"/>
    <n v="0"/>
    <s v=""/>
    <n v="1"/>
    <n v="1"/>
    <n v="11"/>
    <x v="12"/>
    <n v="0"/>
    <x v="0"/>
    <n v="6.62"/>
  </r>
  <r>
    <s v="T1132"/>
    <x v="3"/>
    <d v="2026-09-01T00:00:00"/>
    <d v="1899-12-30T09:30:00"/>
    <n v="178"/>
    <n v="165"/>
    <n v="6"/>
    <s v="Corridor North"/>
    <n v="18.5"/>
    <n v="22"/>
    <x v="3"/>
    <x v="0"/>
    <n v="0"/>
    <n v="0"/>
    <s v=""/>
    <n v="1"/>
    <n v="1"/>
    <n v="0"/>
    <x v="4"/>
    <n v="1"/>
    <x v="0"/>
    <n v="9.6199999999999992"/>
  </r>
  <r>
    <s v="T1133"/>
    <x v="1"/>
    <d v="2026-09-20T00:00:00"/>
    <d v="1899-12-30T16:45:00"/>
    <n v="111"/>
    <n v="94"/>
    <n v="5"/>
    <s v="Airport Express"/>
    <n v="32"/>
    <n v="14"/>
    <x v="1"/>
    <x v="2"/>
    <n v="1"/>
    <n v="0"/>
    <s v="Marathon"/>
    <n v="1"/>
    <n v="1"/>
    <n v="4"/>
    <x v="2"/>
    <n v="0"/>
    <x v="1"/>
    <n v="3.47"/>
  </r>
  <r>
    <s v="T1134"/>
    <x v="2"/>
    <d v="2026-09-30T00:00:00"/>
    <d v="1899-12-30T19:30:00"/>
    <n v="100"/>
    <n v="93"/>
    <n v="4"/>
    <s v="Downtown Loop"/>
    <n v="12.2"/>
    <n v="18"/>
    <x v="2"/>
    <x v="6"/>
    <n v="0"/>
    <n v="0"/>
    <s v=""/>
    <n v="1"/>
    <n v="1"/>
    <n v="0"/>
    <x v="8"/>
    <n v="1"/>
    <x v="0"/>
    <n v="8.1999999999999993"/>
  </r>
  <r>
    <s v="T1135"/>
    <x v="3"/>
    <d v="2026-09-07T00:00:00"/>
    <d v="1899-12-30T20:30:00"/>
    <n v="192"/>
    <n v="204"/>
    <n v="6"/>
    <s v="Corridor North"/>
    <n v="18.5"/>
    <n v="22"/>
    <x v="3"/>
    <x v="5"/>
    <n v="0"/>
    <n v="0"/>
    <s v=""/>
    <n v="1"/>
    <n v="1"/>
    <n v="4"/>
    <x v="15"/>
    <n v="0"/>
    <x v="0"/>
    <n v="10.38"/>
  </r>
  <r>
    <s v="T1136"/>
    <x v="0"/>
    <d v="2026-09-27T00:00:00"/>
    <d v="1899-12-30T10:15:00"/>
    <n v="58"/>
    <n v="61"/>
    <n v="3"/>
    <s v="Tech Park Shuttle"/>
    <n v="15"/>
    <n v="16"/>
    <x v="0"/>
    <x v="2"/>
    <n v="1"/>
    <n v="0"/>
    <s v="Music Fest"/>
    <n v="1"/>
    <n v="1"/>
    <n v="1"/>
    <x v="3"/>
    <n v="1"/>
    <x v="1"/>
    <n v="3.87"/>
  </r>
  <r>
    <s v="T1137"/>
    <x v="3"/>
    <d v="2026-09-04T00:00:00"/>
    <d v="1899-12-30T22:45:00"/>
    <n v="38"/>
    <n v="34"/>
    <n v="3"/>
    <s v="Corridor North"/>
    <n v="18.5"/>
    <n v="22"/>
    <x v="3"/>
    <x v="3"/>
    <n v="0"/>
    <n v="0"/>
    <s v=""/>
    <n v="1"/>
    <n v="1"/>
    <n v="1"/>
    <x v="11"/>
    <n v="0"/>
    <x v="0"/>
    <n v="2.0499999999999998"/>
  </r>
  <r>
    <s v="T1138"/>
    <x v="3"/>
    <d v="2026-09-29T00:00:00"/>
    <d v="1899-12-30T15:00:00"/>
    <n v="90"/>
    <n v="93"/>
    <n v="6"/>
    <s v="Corridor North"/>
    <n v="18.5"/>
    <n v="22"/>
    <x v="3"/>
    <x v="0"/>
    <n v="0"/>
    <n v="0"/>
    <s v=""/>
    <n v="1"/>
    <n v="1"/>
    <n v="8"/>
    <x v="17"/>
    <n v="0"/>
    <x v="0"/>
    <n v="4.8600000000000003"/>
  </r>
  <r>
    <s v="T1139"/>
    <x v="1"/>
    <d v="2026-09-06T00:00:00"/>
    <d v="1899-12-30T15:30:00"/>
    <n v="137"/>
    <n v="136"/>
    <n v="6"/>
    <s v="Airport Express"/>
    <n v="32"/>
    <n v="14"/>
    <x v="1"/>
    <x v="2"/>
    <n v="1"/>
    <n v="0"/>
    <s v=""/>
    <n v="1"/>
    <n v="1"/>
    <n v="7"/>
    <x v="17"/>
    <n v="0"/>
    <x v="0"/>
    <n v="4.28"/>
  </r>
  <r>
    <s v="T1140"/>
    <x v="0"/>
    <d v="2026-09-25T00:00:00"/>
    <d v="1899-12-30T20:30:00"/>
    <n v="157"/>
    <n v="158"/>
    <n v="7"/>
    <s v="Tech Park Shuttle"/>
    <n v="15"/>
    <n v="16"/>
    <x v="0"/>
    <x v="3"/>
    <n v="0"/>
    <n v="0"/>
    <s v=""/>
    <n v="1"/>
    <n v="1"/>
    <n v="12"/>
    <x v="15"/>
    <n v="0"/>
    <x v="0"/>
    <n v="10.47"/>
  </r>
  <r>
    <s v="T1141"/>
    <x v="3"/>
    <d v="2026-09-01T00:00:00"/>
    <d v="1899-12-30T19:00:00"/>
    <n v="71"/>
    <n v="72"/>
    <n v="6"/>
    <s v="Corridor North"/>
    <n v="18.5"/>
    <n v="22"/>
    <x v="3"/>
    <x v="0"/>
    <n v="0"/>
    <n v="0"/>
    <s v=""/>
    <n v="1"/>
    <n v="1"/>
    <n v="3"/>
    <x v="8"/>
    <n v="1"/>
    <x v="0"/>
    <n v="3.84"/>
  </r>
  <r>
    <s v="T1142"/>
    <x v="1"/>
    <d v="2026-09-29T00:00:00"/>
    <d v="1899-12-30T08:30:00"/>
    <n v="31"/>
    <n v="25"/>
    <n v="3"/>
    <s v="Airport Express"/>
    <n v="32"/>
    <n v="14"/>
    <x v="1"/>
    <x v="0"/>
    <n v="0"/>
    <n v="0"/>
    <s v=""/>
    <n v="1"/>
    <n v="1"/>
    <n v="2"/>
    <x v="13"/>
    <n v="1"/>
    <x v="0"/>
    <n v="0.97"/>
  </r>
  <r>
    <s v="T1143"/>
    <x v="3"/>
    <d v="2026-09-05T00:00:00"/>
    <d v="1899-12-30T19:45:00"/>
    <n v="58"/>
    <n v="56"/>
    <n v="4"/>
    <s v="Corridor North"/>
    <n v="18.5"/>
    <n v="22"/>
    <x v="3"/>
    <x v="1"/>
    <n v="1"/>
    <n v="1"/>
    <s v=""/>
    <n v="1"/>
    <n v="1"/>
    <n v="7"/>
    <x v="8"/>
    <n v="1"/>
    <x v="0"/>
    <n v="3.14"/>
  </r>
  <r>
    <s v="T1144"/>
    <x v="3"/>
    <d v="2026-09-27T00:00:00"/>
    <d v="1899-12-30T17:15:00"/>
    <n v="208"/>
    <n v="204"/>
    <n v="6"/>
    <s v="Corridor North"/>
    <n v="18.5"/>
    <n v="22"/>
    <x v="3"/>
    <x v="2"/>
    <n v="1"/>
    <n v="0"/>
    <s v="Music Fest"/>
    <n v="1"/>
    <n v="1"/>
    <n v="1"/>
    <x v="1"/>
    <n v="1"/>
    <x v="1"/>
    <n v="11.24"/>
  </r>
  <r>
    <s v="T1145"/>
    <x v="0"/>
    <d v="2026-09-23T00:00:00"/>
    <d v="1899-12-30T06:15:00"/>
    <n v="71"/>
    <n v="74"/>
    <n v="3"/>
    <s v="Tech Park Shuttle"/>
    <n v="15"/>
    <n v="16"/>
    <x v="0"/>
    <x v="6"/>
    <n v="0"/>
    <n v="0"/>
    <s v=""/>
    <n v="1"/>
    <n v="1"/>
    <n v="2"/>
    <x v="12"/>
    <n v="0"/>
    <x v="0"/>
    <n v="4.7300000000000004"/>
  </r>
  <r>
    <s v="T1146"/>
    <x v="0"/>
    <d v="2026-09-01T00:00:00"/>
    <d v="1899-12-30T08:45:00"/>
    <n v="73"/>
    <n v="78"/>
    <n v="3"/>
    <s v="Tech Park Shuttle"/>
    <n v="15"/>
    <n v="16"/>
    <x v="0"/>
    <x v="0"/>
    <n v="0"/>
    <n v="0"/>
    <s v=""/>
    <n v="1"/>
    <n v="1"/>
    <n v="10"/>
    <x v="13"/>
    <n v="1"/>
    <x v="0"/>
    <n v="4.87"/>
  </r>
  <r>
    <s v="T1147"/>
    <x v="4"/>
    <d v="2026-09-30T00:00:00"/>
    <d v="1899-12-30T18:30:00"/>
    <n v="49"/>
    <n v="43"/>
    <n v="3"/>
    <s v="Suburban Link"/>
    <n v="24.8"/>
    <n v="28"/>
    <x v="4"/>
    <x v="6"/>
    <n v="0"/>
    <n v="0"/>
    <s v=""/>
    <n v="1"/>
    <n v="1"/>
    <n v="6"/>
    <x v="0"/>
    <n v="1"/>
    <x v="0"/>
    <n v="1.98"/>
  </r>
  <r>
    <s v="T1148"/>
    <x v="2"/>
    <d v="2026-09-04T00:00:00"/>
    <d v="1899-12-30T19:45:00"/>
    <n v="70"/>
    <n v="55"/>
    <n v="5"/>
    <s v="Downtown Loop"/>
    <n v="12.2"/>
    <n v="18"/>
    <x v="2"/>
    <x v="3"/>
    <n v="0"/>
    <n v="0"/>
    <s v=""/>
    <n v="1"/>
    <n v="1"/>
    <n v="9"/>
    <x v="8"/>
    <n v="1"/>
    <x v="0"/>
    <n v="5.74"/>
  </r>
  <r>
    <s v="T1149"/>
    <x v="1"/>
    <d v="2026-09-22T00:00:00"/>
    <d v="1899-12-30T07:45:00"/>
    <n v="110"/>
    <n v="113"/>
    <n v="4"/>
    <s v="Airport Express"/>
    <n v="32"/>
    <n v="14"/>
    <x v="1"/>
    <x v="0"/>
    <n v="0"/>
    <n v="0"/>
    <s v=""/>
    <n v="1"/>
    <n v="1"/>
    <n v="0"/>
    <x v="6"/>
    <n v="0"/>
    <x v="0"/>
    <n v="3.44"/>
  </r>
  <r>
    <s v="T1150"/>
    <x v="1"/>
    <d v="2026-09-02T00:00:00"/>
    <d v="1899-12-30T20:15:00"/>
    <n v="113"/>
    <n v="106"/>
    <n v="6"/>
    <s v="Airport Express"/>
    <n v="32"/>
    <n v="14"/>
    <x v="1"/>
    <x v="6"/>
    <n v="0"/>
    <n v="0"/>
    <s v=""/>
    <n v="1"/>
    <n v="1"/>
    <n v="27"/>
    <x v="15"/>
    <n v="0"/>
    <x v="0"/>
    <n v="3.53"/>
  </r>
  <r>
    <s v="T1151"/>
    <x v="4"/>
    <d v="2026-09-10T00:00:00"/>
    <d v="1899-12-30T08:15:00"/>
    <n v="80"/>
    <n v="78"/>
    <n v="3"/>
    <s v="Suburban Link"/>
    <n v="24.8"/>
    <n v="28"/>
    <x v="4"/>
    <x v="4"/>
    <n v="0"/>
    <n v="0"/>
    <s v=""/>
    <n v="1"/>
    <n v="1"/>
    <n v="5"/>
    <x v="13"/>
    <n v="1"/>
    <x v="0"/>
    <n v="3.23"/>
  </r>
  <r>
    <s v="T1152"/>
    <x v="1"/>
    <d v="2026-09-05T00:00:00"/>
    <d v="1899-12-30T22:15:00"/>
    <n v="79"/>
    <n v="67"/>
    <n v="4"/>
    <s v="Airport Express"/>
    <n v="32"/>
    <n v="14"/>
    <x v="1"/>
    <x v="1"/>
    <n v="1"/>
    <n v="1"/>
    <s v=""/>
    <n v="1"/>
    <n v="1"/>
    <n v="5"/>
    <x v="11"/>
    <n v="0"/>
    <x v="0"/>
    <n v="2.4700000000000002"/>
  </r>
  <r>
    <s v="T1153"/>
    <x v="1"/>
    <d v="2026-09-27T00:00:00"/>
    <d v="1899-12-30T21:00:00"/>
    <n v="49"/>
    <n v="47"/>
    <n v="2"/>
    <s v="Airport Express"/>
    <n v="32"/>
    <n v="14"/>
    <x v="1"/>
    <x v="2"/>
    <n v="1"/>
    <n v="0"/>
    <s v="Music Fest"/>
    <n v="1"/>
    <n v="1"/>
    <n v="0"/>
    <x v="10"/>
    <n v="0"/>
    <x v="1"/>
    <n v="1.53"/>
  </r>
  <r>
    <s v="T1154"/>
    <x v="3"/>
    <d v="2026-09-10T00:00:00"/>
    <d v="1899-12-30T08:15:00"/>
    <n v="167"/>
    <n v="154"/>
    <n v="6"/>
    <s v="Corridor North"/>
    <n v="18.5"/>
    <n v="22"/>
    <x v="3"/>
    <x v="4"/>
    <n v="0"/>
    <n v="0"/>
    <s v=""/>
    <n v="1"/>
    <n v="1"/>
    <n v="1"/>
    <x v="13"/>
    <n v="1"/>
    <x v="0"/>
    <n v="9.0299999999999994"/>
  </r>
  <r>
    <s v="T1155"/>
    <x v="1"/>
    <d v="2026-09-01T00:00:00"/>
    <d v="1899-12-30T15:30:00"/>
    <n v="165"/>
    <n v="160"/>
    <n v="5"/>
    <s v="Airport Express"/>
    <n v="32"/>
    <n v="14"/>
    <x v="1"/>
    <x v="0"/>
    <n v="0"/>
    <n v="0"/>
    <s v=""/>
    <n v="1"/>
    <n v="1"/>
    <n v="7"/>
    <x v="17"/>
    <n v="0"/>
    <x v="0"/>
    <n v="5.16"/>
  </r>
  <r>
    <s v="T1156"/>
    <x v="2"/>
    <d v="2026-09-22T00:00:00"/>
    <d v="1899-12-30T16:15:00"/>
    <n v="60"/>
    <n v="58"/>
    <n v="3"/>
    <s v="Downtown Loop"/>
    <n v="12.2"/>
    <n v="18"/>
    <x v="2"/>
    <x v="0"/>
    <n v="0"/>
    <n v="0"/>
    <s v=""/>
    <n v="1"/>
    <n v="1"/>
    <n v="3"/>
    <x v="2"/>
    <n v="0"/>
    <x v="0"/>
    <n v="4.92"/>
  </r>
  <r>
    <s v="T1157"/>
    <x v="0"/>
    <d v="2026-09-06T00:00:00"/>
    <d v="1899-12-30T11:00:00"/>
    <n v="57"/>
    <n v="60"/>
    <n v="3"/>
    <s v="Tech Park Shuttle"/>
    <n v="15"/>
    <n v="16"/>
    <x v="0"/>
    <x v="2"/>
    <n v="1"/>
    <n v="0"/>
    <s v=""/>
    <n v="1"/>
    <n v="1"/>
    <n v="1"/>
    <x v="9"/>
    <n v="0"/>
    <x v="0"/>
    <n v="3.8"/>
  </r>
  <r>
    <s v="T1158"/>
    <x v="4"/>
    <d v="2026-09-13T00:00:00"/>
    <d v="1899-12-30T11:30:00"/>
    <n v="95"/>
    <n v="101"/>
    <n v="4"/>
    <s v="Suburban Link"/>
    <n v="24.8"/>
    <n v="28"/>
    <x v="4"/>
    <x v="2"/>
    <n v="1"/>
    <n v="0"/>
    <s v=""/>
    <n v="1"/>
    <n v="1"/>
    <n v="4"/>
    <x v="9"/>
    <n v="0"/>
    <x v="0"/>
    <n v="3.83"/>
  </r>
  <r>
    <s v="T1159"/>
    <x v="1"/>
    <d v="2026-09-15T00:00:00"/>
    <d v="1899-12-30T21:15:00"/>
    <n v="67"/>
    <n v="69"/>
    <n v="5"/>
    <s v="Airport Express"/>
    <n v="32"/>
    <n v="14"/>
    <x v="1"/>
    <x v="0"/>
    <n v="0"/>
    <n v="0"/>
    <s v=""/>
    <n v="1"/>
    <n v="1"/>
    <n v="3"/>
    <x v="10"/>
    <n v="0"/>
    <x v="0"/>
    <n v="2.09"/>
  </r>
  <r>
    <s v="T1160"/>
    <x v="3"/>
    <d v="2026-09-04T00:00:00"/>
    <d v="1899-12-30T14:45:00"/>
    <n v="150"/>
    <n v="142"/>
    <n v="6"/>
    <s v="Corridor North"/>
    <n v="18.5"/>
    <n v="22"/>
    <x v="3"/>
    <x v="3"/>
    <n v="0"/>
    <n v="0"/>
    <s v=""/>
    <n v="1"/>
    <n v="1"/>
    <n v="26"/>
    <x v="7"/>
    <n v="0"/>
    <x v="0"/>
    <n v="8.11"/>
  </r>
  <r>
    <s v="T1161"/>
    <x v="2"/>
    <d v="2026-09-13T00:00:00"/>
    <d v="1899-12-30T08:45:00"/>
    <n v="73"/>
    <n v="73"/>
    <n v="5"/>
    <s v="Downtown Loop"/>
    <n v="12.2"/>
    <n v="18"/>
    <x v="2"/>
    <x v="2"/>
    <n v="1"/>
    <n v="0"/>
    <s v=""/>
    <n v="1"/>
    <n v="1"/>
    <n v="5"/>
    <x v="13"/>
    <n v="1"/>
    <x v="0"/>
    <n v="5.98"/>
  </r>
  <r>
    <s v="T1162"/>
    <x v="3"/>
    <d v="2026-09-24T00:00:00"/>
    <d v="1899-12-30T08:15:00"/>
    <n v="109"/>
    <n v="99"/>
    <n v="5"/>
    <s v="Corridor North"/>
    <n v="18.5"/>
    <n v="22"/>
    <x v="3"/>
    <x v="4"/>
    <n v="0"/>
    <n v="0"/>
    <s v=""/>
    <n v="1"/>
    <n v="1"/>
    <n v="3"/>
    <x v="13"/>
    <n v="1"/>
    <x v="0"/>
    <n v="5.89"/>
  </r>
  <r>
    <s v="T1163"/>
    <x v="0"/>
    <d v="2026-09-20T00:00:00"/>
    <d v="1899-12-30T11:15:00"/>
    <n v="128"/>
    <n v="116"/>
    <n v="5"/>
    <s v="Tech Park Shuttle"/>
    <n v="15"/>
    <n v="16"/>
    <x v="0"/>
    <x v="2"/>
    <n v="1"/>
    <n v="0"/>
    <s v="Marathon"/>
    <n v="1"/>
    <n v="1"/>
    <n v="4"/>
    <x v="9"/>
    <n v="0"/>
    <x v="1"/>
    <n v="8.5299999999999994"/>
  </r>
  <r>
    <s v="T1164"/>
    <x v="0"/>
    <d v="2026-09-24T00:00:00"/>
    <d v="1899-12-30T05:45:00"/>
    <n v="66"/>
    <n v="69"/>
    <n v="6"/>
    <s v="Tech Park Shuttle"/>
    <n v="15"/>
    <n v="16"/>
    <x v="0"/>
    <x v="4"/>
    <n v="0"/>
    <n v="0"/>
    <s v=""/>
    <n v="1"/>
    <n v="1"/>
    <n v="0"/>
    <x v="16"/>
    <n v="0"/>
    <x v="0"/>
    <n v="4.4000000000000004"/>
  </r>
  <r>
    <s v="T1165"/>
    <x v="4"/>
    <d v="2026-09-15T00:00:00"/>
    <d v="1899-12-30T17:15:00"/>
    <n v="38"/>
    <n v="40"/>
    <n v="3"/>
    <s v="Suburban Link"/>
    <n v="24.8"/>
    <n v="28"/>
    <x v="4"/>
    <x v="0"/>
    <n v="0"/>
    <n v="0"/>
    <s v=""/>
    <n v="1"/>
    <n v="1"/>
    <n v="0"/>
    <x v="1"/>
    <n v="1"/>
    <x v="0"/>
    <n v="1.53"/>
  </r>
  <r>
    <s v="T1166"/>
    <x v="0"/>
    <d v="2026-09-29T00:00:00"/>
    <d v="1899-12-30T19:30:00"/>
    <n v="115"/>
    <n v="113"/>
    <n v="6"/>
    <s v="Tech Park Shuttle"/>
    <n v="15"/>
    <n v="16"/>
    <x v="0"/>
    <x v="0"/>
    <n v="0"/>
    <n v="0"/>
    <s v=""/>
    <n v="1"/>
    <n v="1"/>
    <n v="3"/>
    <x v="8"/>
    <n v="1"/>
    <x v="0"/>
    <n v="7.67"/>
  </r>
  <r>
    <s v="T1167"/>
    <x v="1"/>
    <d v="2026-09-08T00:00:00"/>
    <d v="1899-12-30T17:30:00"/>
    <n v="98"/>
    <n v="97"/>
    <n v="4"/>
    <s v="Airport Express"/>
    <n v="32"/>
    <n v="14"/>
    <x v="1"/>
    <x v="0"/>
    <n v="0"/>
    <n v="0"/>
    <s v=""/>
    <n v="1"/>
    <n v="1"/>
    <n v="7"/>
    <x v="1"/>
    <n v="1"/>
    <x v="0"/>
    <n v="3.06"/>
  </r>
  <r>
    <s v="T1168"/>
    <x v="3"/>
    <d v="2026-09-05T00:00:00"/>
    <d v="1899-12-30T13:15:00"/>
    <n v="72"/>
    <n v="63"/>
    <n v="3"/>
    <s v="Corridor North"/>
    <n v="18.5"/>
    <n v="22"/>
    <x v="3"/>
    <x v="1"/>
    <n v="1"/>
    <n v="1"/>
    <s v=""/>
    <n v="1"/>
    <n v="1"/>
    <n v="2"/>
    <x v="5"/>
    <n v="0"/>
    <x v="0"/>
    <n v="3.89"/>
  </r>
  <r>
    <s v="T1169"/>
    <x v="0"/>
    <d v="2026-09-29T00:00:00"/>
    <d v="1899-12-30T13:30:00"/>
    <n v="168"/>
    <n v="184"/>
    <n v="6"/>
    <s v="Tech Park Shuttle"/>
    <n v="15"/>
    <n v="16"/>
    <x v="0"/>
    <x v="0"/>
    <n v="0"/>
    <n v="0"/>
    <s v=""/>
    <n v="1"/>
    <n v="1"/>
    <n v="4"/>
    <x v="5"/>
    <n v="0"/>
    <x v="0"/>
    <n v="11.2"/>
  </r>
  <r>
    <s v="T1170"/>
    <x v="0"/>
    <d v="2026-09-15T00:00:00"/>
    <d v="1899-12-30T14:45:00"/>
    <n v="35"/>
    <n v="35"/>
    <n v="3"/>
    <s v="Tech Park Shuttle"/>
    <n v="15"/>
    <n v="16"/>
    <x v="0"/>
    <x v="0"/>
    <n v="0"/>
    <n v="0"/>
    <s v=""/>
    <n v="1"/>
    <n v="1"/>
    <n v="2"/>
    <x v="7"/>
    <n v="0"/>
    <x v="0"/>
    <n v="2.33"/>
  </r>
  <r>
    <s v="T1171"/>
    <x v="3"/>
    <d v="2026-09-04T00:00:00"/>
    <d v="1899-12-30T14:45:00"/>
    <n v="71"/>
    <n v="77"/>
    <n v="4"/>
    <s v="Corridor North"/>
    <n v="18.5"/>
    <n v="22"/>
    <x v="3"/>
    <x v="3"/>
    <n v="0"/>
    <n v="0"/>
    <s v=""/>
    <n v="1"/>
    <n v="1"/>
    <n v="3"/>
    <x v="7"/>
    <n v="0"/>
    <x v="0"/>
    <n v="3.84"/>
  </r>
  <r>
    <s v="T1172"/>
    <x v="3"/>
    <d v="2026-09-12T00:00:00"/>
    <d v="1899-12-30T20:00:00"/>
    <n v="47"/>
    <n v="45"/>
    <n v="3"/>
    <s v="Corridor North"/>
    <n v="18.5"/>
    <n v="22"/>
    <x v="3"/>
    <x v="1"/>
    <n v="1"/>
    <n v="0"/>
    <s v="Tech Expo"/>
    <n v="1"/>
    <n v="1"/>
    <n v="16"/>
    <x v="15"/>
    <n v="0"/>
    <x v="1"/>
    <n v="2.54"/>
  </r>
  <r>
    <s v="T1173"/>
    <x v="1"/>
    <d v="2026-09-13T00:00:00"/>
    <d v="1899-12-30T09:45:00"/>
    <n v="87"/>
    <n v="90"/>
    <n v="3"/>
    <s v="Airport Express"/>
    <n v="32"/>
    <n v="14"/>
    <x v="1"/>
    <x v="2"/>
    <n v="1"/>
    <n v="0"/>
    <s v=""/>
    <n v="1"/>
    <n v="1"/>
    <n v="3"/>
    <x v="4"/>
    <n v="1"/>
    <x v="0"/>
    <n v="2.72"/>
  </r>
  <r>
    <s v="T1174"/>
    <x v="2"/>
    <d v="2026-09-02T00:00:00"/>
    <d v="1899-12-30T22:45:00"/>
    <n v="103"/>
    <n v="103"/>
    <n v="5"/>
    <s v="Downtown Loop"/>
    <n v="12.2"/>
    <n v="18"/>
    <x v="2"/>
    <x v="6"/>
    <n v="0"/>
    <n v="0"/>
    <s v=""/>
    <n v="1"/>
    <n v="1"/>
    <n v="4"/>
    <x v="11"/>
    <n v="0"/>
    <x v="0"/>
    <n v="8.44"/>
  </r>
  <r>
    <s v="T1175"/>
    <x v="1"/>
    <d v="2026-09-27T00:00:00"/>
    <d v="1899-12-30T08:45:00"/>
    <n v="67"/>
    <n v="63"/>
    <n v="4"/>
    <s v="Airport Express"/>
    <n v="32"/>
    <n v="14"/>
    <x v="1"/>
    <x v="2"/>
    <n v="1"/>
    <n v="0"/>
    <s v="Music Fest"/>
    <n v="1"/>
    <n v="1"/>
    <n v="0"/>
    <x v="13"/>
    <n v="1"/>
    <x v="1"/>
    <n v="2.09"/>
  </r>
  <r>
    <s v="T1176"/>
    <x v="0"/>
    <d v="2026-09-19T00:00:00"/>
    <d v="1899-12-30T11:15:00"/>
    <n v="78"/>
    <n v="79"/>
    <n v="5"/>
    <s v="Tech Park Shuttle"/>
    <n v="15"/>
    <n v="16"/>
    <x v="0"/>
    <x v="1"/>
    <n v="1"/>
    <n v="1"/>
    <s v=""/>
    <n v="1"/>
    <n v="1"/>
    <n v="0"/>
    <x v="9"/>
    <n v="0"/>
    <x v="0"/>
    <n v="5.2"/>
  </r>
  <r>
    <s v="T1177"/>
    <x v="0"/>
    <d v="2026-09-19T00:00:00"/>
    <d v="1899-12-30T22:30:00"/>
    <n v="116"/>
    <n v="126"/>
    <n v="7"/>
    <s v="Tech Park Shuttle"/>
    <n v="15"/>
    <n v="16"/>
    <x v="0"/>
    <x v="1"/>
    <n v="1"/>
    <n v="1"/>
    <s v=""/>
    <n v="1"/>
    <n v="1"/>
    <n v="4"/>
    <x v="11"/>
    <n v="0"/>
    <x v="0"/>
    <n v="7.73"/>
  </r>
  <r>
    <s v="T1178"/>
    <x v="3"/>
    <d v="2026-09-04T00:00:00"/>
    <d v="1899-12-30T08:15:00"/>
    <n v="76"/>
    <n v="72"/>
    <n v="4"/>
    <s v="Corridor North"/>
    <n v="18.5"/>
    <n v="22"/>
    <x v="3"/>
    <x v="3"/>
    <n v="0"/>
    <n v="0"/>
    <s v=""/>
    <n v="1"/>
    <n v="1"/>
    <n v="0"/>
    <x v="13"/>
    <n v="1"/>
    <x v="0"/>
    <n v="4.1100000000000003"/>
  </r>
  <r>
    <s v="T1179"/>
    <x v="1"/>
    <d v="2026-09-04T00:00:00"/>
    <d v="1899-12-30T05:30:00"/>
    <n v="136"/>
    <n v="141"/>
    <n v="4"/>
    <s v="Airport Express"/>
    <n v="32"/>
    <n v="14"/>
    <x v="1"/>
    <x v="3"/>
    <n v="0"/>
    <n v="0"/>
    <s v=""/>
    <n v="1"/>
    <n v="1"/>
    <n v="12"/>
    <x v="16"/>
    <n v="0"/>
    <x v="0"/>
    <n v="4.25"/>
  </r>
  <r>
    <s v="T1180"/>
    <x v="2"/>
    <d v="2026-09-26T00:00:00"/>
    <d v="1899-12-30T22:00:00"/>
    <n v="158"/>
    <n v="153"/>
    <n v="6"/>
    <s v="Downtown Loop"/>
    <n v="12.2"/>
    <n v="18"/>
    <x v="2"/>
    <x v="1"/>
    <n v="1"/>
    <n v="0"/>
    <s v=""/>
    <n v="1"/>
    <n v="1"/>
    <n v="6"/>
    <x v="11"/>
    <n v="0"/>
    <x v="0"/>
    <n v="12.95"/>
  </r>
  <r>
    <s v="T1181"/>
    <x v="1"/>
    <d v="2026-09-11T00:00:00"/>
    <d v="1899-12-30T19:00:00"/>
    <n v="61"/>
    <n v="55"/>
    <n v="5"/>
    <s v="Airport Express"/>
    <n v="32"/>
    <n v="14"/>
    <x v="1"/>
    <x v="3"/>
    <n v="0"/>
    <n v="0"/>
    <s v=""/>
    <n v="1"/>
    <n v="1"/>
    <n v="2"/>
    <x v="8"/>
    <n v="1"/>
    <x v="0"/>
    <n v="1.91"/>
  </r>
  <r>
    <s v="T1182"/>
    <x v="4"/>
    <d v="2026-09-27T00:00:00"/>
    <d v="1899-12-30T07:45:00"/>
    <n v="117"/>
    <n v="120"/>
    <n v="6"/>
    <s v="Suburban Link"/>
    <n v="24.8"/>
    <n v="28"/>
    <x v="4"/>
    <x v="2"/>
    <n v="1"/>
    <n v="0"/>
    <s v="Music Fest"/>
    <n v="1"/>
    <n v="1"/>
    <n v="1"/>
    <x v="6"/>
    <n v="0"/>
    <x v="1"/>
    <n v="4.72"/>
  </r>
  <r>
    <s v="T1183"/>
    <x v="2"/>
    <d v="2026-09-05T00:00:00"/>
    <d v="1899-12-30T06:00:00"/>
    <n v="140"/>
    <n v="131"/>
    <n v="6"/>
    <s v="Downtown Loop"/>
    <n v="12.2"/>
    <n v="18"/>
    <x v="2"/>
    <x v="1"/>
    <n v="1"/>
    <n v="1"/>
    <s v=""/>
    <n v="1"/>
    <n v="1"/>
    <n v="7"/>
    <x v="12"/>
    <n v="0"/>
    <x v="0"/>
    <n v="11.48"/>
  </r>
  <r>
    <s v="T1184"/>
    <x v="0"/>
    <d v="2026-09-20T00:00:00"/>
    <d v="1899-12-30T21:15:00"/>
    <n v="87"/>
    <n v="99"/>
    <n v="7"/>
    <s v="Tech Park Shuttle"/>
    <n v="15"/>
    <n v="16"/>
    <x v="0"/>
    <x v="2"/>
    <n v="1"/>
    <n v="0"/>
    <s v="Marathon"/>
    <n v="1"/>
    <n v="1"/>
    <n v="1"/>
    <x v="10"/>
    <n v="0"/>
    <x v="1"/>
    <n v="5.8"/>
  </r>
  <r>
    <s v="T1185"/>
    <x v="0"/>
    <d v="2026-09-11T00:00:00"/>
    <d v="1899-12-30T20:00:00"/>
    <n v="146"/>
    <n v="152"/>
    <n v="5"/>
    <s v="Tech Park Shuttle"/>
    <n v="15"/>
    <n v="16"/>
    <x v="0"/>
    <x v="3"/>
    <n v="0"/>
    <n v="0"/>
    <s v=""/>
    <n v="1"/>
    <n v="1"/>
    <n v="1"/>
    <x v="15"/>
    <n v="0"/>
    <x v="0"/>
    <n v="9.73"/>
  </r>
  <r>
    <s v="T1186"/>
    <x v="2"/>
    <d v="2026-09-30T00:00:00"/>
    <d v="1899-12-30T19:30:00"/>
    <n v="113"/>
    <n v="107"/>
    <n v="6"/>
    <s v="Downtown Loop"/>
    <n v="12.2"/>
    <n v="18"/>
    <x v="2"/>
    <x v="6"/>
    <n v="0"/>
    <n v="0"/>
    <s v=""/>
    <n v="1"/>
    <n v="1"/>
    <n v="0"/>
    <x v="8"/>
    <n v="1"/>
    <x v="0"/>
    <n v="9.26"/>
  </r>
  <r>
    <s v="T1187"/>
    <x v="0"/>
    <d v="2026-09-10T00:00:00"/>
    <d v="1899-12-30T11:45:00"/>
    <n v="78"/>
    <n v="87"/>
    <n v="4"/>
    <s v="Tech Park Shuttle"/>
    <n v="15"/>
    <n v="16"/>
    <x v="0"/>
    <x v="4"/>
    <n v="0"/>
    <n v="0"/>
    <s v=""/>
    <n v="1"/>
    <n v="1"/>
    <n v="5"/>
    <x v="9"/>
    <n v="0"/>
    <x v="0"/>
    <n v="5.2"/>
  </r>
  <r>
    <s v="T1188"/>
    <x v="1"/>
    <d v="2026-09-08T00:00:00"/>
    <d v="1899-12-30T15:15:00"/>
    <n v="51"/>
    <n v="60"/>
    <n v="3"/>
    <s v="Airport Express"/>
    <n v="32"/>
    <n v="14"/>
    <x v="1"/>
    <x v="0"/>
    <n v="0"/>
    <n v="0"/>
    <s v=""/>
    <n v="1"/>
    <n v="1"/>
    <n v="1"/>
    <x v="17"/>
    <n v="0"/>
    <x v="0"/>
    <n v="1.59"/>
  </r>
  <r>
    <s v="T1189"/>
    <x v="2"/>
    <d v="2026-09-06T00:00:00"/>
    <d v="1899-12-30T13:15:00"/>
    <n v="116"/>
    <n v="123"/>
    <n v="4"/>
    <s v="Downtown Loop"/>
    <n v="12.2"/>
    <n v="18"/>
    <x v="2"/>
    <x v="2"/>
    <n v="1"/>
    <n v="0"/>
    <s v=""/>
    <n v="1"/>
    <n v="1"/>
    <n v="5"/>
    <x v="5"/>
    <n v="0"/>
    <x v="0"/>
    <n v="9.51"/>
  </r>
  <r>
    <s v="T1190"/>
    <x v="1"/>
    <d v="2026-09-06T00:00:00"/>
    <d v="1899-12-30T17:00:00"/>
    <n v="93"/>
    <n v="82"/>
    <n v="3"/>
    <s v="Airport Express"/>
    <n v="32"/>
    <n v="14"/>
    <x v="1"/>
    <x v="2"/>
    <n v="1"/>
    <n v="0"/>
    <s v=""/>
    <n v="1"/>
    <n v="1"/>
    <n v="3"/>
    <x v="1"/>
    <n v="1"/>
    <x v="0"/>
    <n v="2.91"/>
  </r>
  <r>
    <s v="T1191"/>
    <x v="2"/>
    <d v="2026-09-08T00:00:00"/>
    <d v="1899-12-30T06:45:00"/>
    <n v="93"/>
    <n v="86"/>
    <n v="5"/>
    <s v="Downtown Loop"/>
    <n v="12.2"/>
    <n v="18"/>
    <x v="2"/>
    <x v="0"/>
    <n v="0"/>
    <n v="0"/>
    <s v=""/>
    <n v="1"/>
    <n v="1"/>
    <n v="4"/>
    <x v="12"/>
    <n v="0"/>
    <x v="0"/>
    <n v="7.62"/>
  </r>
  <r>
    <s v="T1192"/>
    <x v="0"/>
    <d v="2026-09-23T00:00:00"/>
    <d v="1899-12-30T07:30:00"/>
    <n v="137"/>
    <n v="134"/>
    <n v="7"/>
    <s v="Tech Park Shuttle"/>
    <n v="15"/>
    <n v="16"/>
    <x v="0"/>
    <x v="6"/>
    <n v="0"/>
    <n v="0"/>
    <s v=""/>
    <n v="1"/>
    <n v="1"/>
    <n v="1"/>
    <x v="6"/>
    <n v="0"/>
    <x v="0"/>
    <n v="9.1300000000000008"/>
  </r>
  <r>
    <s v="T1193"/>
    <x v="1"/>
    <d v="2026-09-15T00:00:00"/>
    <d v="1899-12-30T22:30:00"/>
    <n v="160"/>
    <n v="157"/>
    <n v="6"/>
    <s v="Airport Express"/>
    <n v="32"/>
    <n v="14"/>
    <x v="1"/>
    <x v="0"/>
    <n v="0"/>
    <n v="0"/>
    <s v=""/>
    <n v="1"/>
    <n v="1"/>
    <n v="3"/>
    <x v="11"/>
    <n v="0"/>
    <x v="0"/>
    <n v="5"/>
  </r>
  <r>
    <s v="T1194"/>
    <x v="1"/>
    <d v="2026-09-26T00:00:00"/>
    <d v="1899-12-30T14:15:00"/>
    <n v="113"/>
    <n v="118"/>
    <n v="6"/>
    <s v="Airport Express"/>
    <n v="32"/>
    <n v="14"/>
    <x v="1"/>
    <x v="1"/>
    <n v="1"/>
    <n v="0"/>
    <s v=""/>
    <n v="1"/>
    <n v="1"/>
    <n v="3"/>
    <x v="7"/>
    <n v="0"/>
    <x v="0"/>
    <n v="3.53"/>
  </r>
  <r>
    <s v="T1195"/>
    <x v="4"/>
    <d v="2026-09-14T00:00:00"/>
    <d v="1899-12-30T11:00:00"/>
    <n v="104"/>
    <n v="96"/>
    <n v="5"/>
    <s v="Suburban Link"/>
    <n v="24.8"/>
    <n v="28"/>
    <x v="4"/>
    <x v="5"/>
    <n v="0"/>
    <n v="0"/>
    <s v=""/>
    <n v="1"/>
    <n v="1"/>
    <n v="10"/>
    <x v="9"/>
    <n v="0"/>
    <x v="0"/>
    <n v="4.1900000000000004"/>
  </r>
  <r>
    <s v="T1196"/>
    <x v="1"/>
    <d v="2026-09-11T00:00:00"/>
    <d v="1899-12-30T21:30:00"/>
    <n v="114"/>
    <n v="118"/>
    <n v="7"/>
    <s v="Airport Express"/>
    <n v="32"/>
    <n v="14"/>
    <x v="1"/>
    <x v="3"/>
    <n v="0"/>
    <n v="0"/>
    <s v=""/>
    <n v="1"/>
    <n v="1"/>
    <n v="7"/>
    <x v="10"/>
    <n v="0"/>
    <x v="0"/>
    <n v="3.56"/>
  </r>
  <r>
    <s v="T1197"/>
    <x v="3"/>
    <d v="2026-09-12T00:00:00"/>
    <d v="1899-12-30T11:45:00"/>
    <n v="61"/>
    <n v="69"/>
    <n v="4"/>
    <s v="Corridor North"/>
    <n v="18.5"/>
    <n v="22"/>
    <x v="3"/>
    <x v="1"/>
    <n v="1"/>
    <n v="0"/>
    <s v="Tech Expo"/>
    <n v="1"/>
    <n v="1"/>
    <n v="4"/>
    <x v="9"/>
    <n v="0"/>
    <x v="1"/>
    <n v="3.3"/>
  </r>
  <r>
    <s v="T1198"/>
    <x v="3"/>
    <d v="2026-09-26T00:00:00"/>
    <d v="1899-12-30T18:30:00"/>
    <n v="47"/>
    <n v="48"/>
    <n v="3"/>
    <s v="Corridor North"/>
    <n v="18.5"/>
    <n v="22"/>
    <x v="3"/>
    <x v="1"/>
    <n v="1"/>
    <n v="0"/>
    <s v=""/>
    <n v="1"/>
    <n v="1"/>
    <n v="3"/>
    <x v="0"/>
    <n v="1"/>
    <x v="0"/>
    <n v="2.54"/>
  </r>
  <r>
    <s v="T1199"/>
    <x v="2"/>
    <d v="2026-09-13T00:00:00"/>
    <d v="1899-12-30T08:15:00"/>
    <n v="126"/>
    <n v="113"/>
    <n v="4"/>
    <s v="Downtown Loop"/>
    <n v="12.2"/>
    <n v="18"/>
    <x v="2"/>
    <x v="2"/>
    <n v="1"/>
    <n v="0"/>
    <s v=""/>
    <n v="1"/>
    <n v="1"/>
    <n v="0"/>
    <x v="13"/>
    <n v="1"/>
    <x v="0"/>
    <n v="10.33"/>
  </r>
  <r>
    <s v="T1200"/>
    <x v="4"/>
    <d v="2026-09-08T00:00:00"/>
    <d v="1899-12-30T10:15:00"/>
    <n v="154"/>
    <n v="159"/>
    <n v="7"/>
    <s v="Suburban Link"/>
    <n v="24.8"/>
    <n v="28"/>
    <x v="4"/>
    <x v="0"/>
    <n v="0"/>
    <n v="0"/>
    <s v=""/>
    <n v="1"/>
    <n v="1"/>
    <n v="4"/>
    <x v="3"/>
    <n v="1"/>
    <x v="0"/>
    <n v="6.21"/>
  </r>
  <r>
    <s v="T1201"/>
    <x v="3"/>
    <d v="2026-09-30T00:00:00"/>
    <d v="1899-12-30T11:00:00"/>
    <n v="128"/>
    <n v="139"/>
    <n v="3"/>
    <s v="Corridor North"/>
    <n v="18.5"/>
    <n v="22"/>
    <x v="3"/>
    <x v="6"/>
    <n v="0"/>
    <n v="0"/>
    <s v=""/>
    <n v="1"/>
    <n v="1"/>
    <n v="4"/>
    <x v="9"/>
    <n v="0"/>
    <x v="0"/>
    <n v="6.92"/>
  </r>
  <r>
    <s v="T1202"/>
    <x v="2"/>
    <d v="2026-09-18T00:00:00"/>
    <d v="1899-12-30T18:45:00"/>
    <n v="136"/>
    <n v="125"/>
    <n v="5"/>
    <s v="Downtown Loop"/>
    <n v="12.2"/>
    <n v="18"/>
    <x v="2"/>
    <x v="3"/>
    <n v="0"/>
    <n v="0"/>
    <s v=""/>
    <n v="1"/>
    <n v="1"/>
    <n v="0"/>
    <x v="0"/>
    <n v="1"/>
    <x v="0"/>
    <n v="11.15"/>
  </r>
  <r>
    <s v="T1203"/>
    <x v="4"/>
    <d v="2026-09-25T00:00:00"/>
    <d v="1899-12-30T12:00:00"/>
    <n v="69"/>
    <n v="63"/>
    <n v="4"/>
    <s v="Suburban Link"/>
    <n v="24.8"/>
    <n v="28"/>
    <x v="4"/>
    <x v="3"/>
    <n v="0"/>
    <n v="0"/>
    <s v=""/>
    <n v="1"/>
    <n v="1"/>
    <n v="1"/>
    <x v="14"/>
    <n v="0"/>
    <x v="0"/>
    <n v="2.78"/>
  </r>
  <r>
    <s v="T1204"/>
    <x v="1"/>
    <d v="2026-09-01T00:00:00"/>
    <d v="1899-12-30T05:45:00"/>
    <n v="40"/>
    <n v="45"/>
    <n v="3"/>
    <s v="Airport Express"/>
    <n v="32"/>
    <n v="14"/>
    <x v="1"/>
    <x v="0"/>
    <n v="0"/>
    <n v="0"/>
    <s v=""/>
    <n v="1"/>
    <n v="1"/>
    <n v="10"/>
    <x v="16"/>
    <n v="0"/>
    <x v="0"/>
    <n v="1.25"/>
  </r>
  <r>
    <s v="T1205"/>
    <x v="1"/>
    <d v="2026-09-15T00:00:00"/>
    <d v="1899-12-30T07:00:00"/>
    <n v="109"/>
    <n v="100"/>
    <n v="3"/>
    <s v="Airport Express"/>
    <n v="32"/>
    <n v="14"/>
    <x v="1"/>
    <x v="0"/>
    <n v="0"/>
    <n v="0"/>
    <s v=""/>
    <n v="1"/>
    <n v="1"/>
    <n v="10"/>
    <x v="6"/>
    <n v="0"/>
    <x v="0"/>
    <n v="3.41"/>
  </r>
  <r>
    <s v="T1206"/>
    <x v="1"/>
    <d v="2026-09-08T00:00:00"/>
    <d v="1899-12-30T12:00:00"/>
    <n v="112"/>
    <n v="117"/>
    <n v="5"/>
    <s v="Airport Express"/>
    <n v="32"/>
    <n v="14"/>
    <x v="1"/>
    <x v="0"/>
    <n v="0"/>
    <n v="0"/>
    <s v=""/>
    <n v="1"/>
    <n v="1"/>
    <n v="2"/>
    <x v="14"/>
    <n v="0"/>
    <x v="0"/>
    <n v="3.5"/>
  </r>
  <r>
    <s v="T1207"/>
    <x v="1"/>
    <d v="2026-09-28T00:00:00"/>
    <d v="1899-12-30T10:00:00"/>
    <n v="86"/>
    <n v="76"/>
    <n v="5"/>
    <s v="Airport Express"/>
    <n v="32"/>
    <n v="14"/>
    <x v="1"/>
    <x v="5"/>
    <n v="0"/>
    <n v="0"/>
    <s v=""/>
    <n v="1"/>
    <n v="1"/>
    <n v="0"/>
    <x v="3"/>
    <n v="1"/>
    <x v="0"/>
    <n v="2.69"/>
  </r>
  <r>
    <s v="T1208"/>
    <x v="1"/>
    <d v="2026-09-11T00:00:00"/>
    <d v="1899-12-30T11:45:00"/>
    <n v="81"/>
    <n v="77"/>
    <n v="3"/>
    <s v="Airport Express"/>
    <n v="32"/>
    <n v="14"/>
    <x v="1"/>
    <x v="3"/>
    <n v="0"/>
    <n v="0"/>
    <s v=""/>
    <n v="1"/>
    <n v="1"/>
    <n v="0"/>
    <x v="9"/>
    <n v="0"/>
    <x v="0"/>
    <n v="2.5299999999999998"/>
  </r>
  <r>
    <s v="T1209"/>
    <x v="4"/>
    <d v="2026-09-12T00:00:00"/>
    <d v="1899-12-30T17:00:00"/>
    <n v="77"/>
    <n v="78"/>
    <n v="3"/>
    <s v="Suburban Link"/>
    <n v="24.8"/>
    <n v="28"/>
    <x v="4"/>
    <x v="1"/>
    <n v="1"/>
    <n v="0"/>
    <s v="Tech Expo"/>
    <n v="1"/>
    <n v="1"/>
    <n v="0"/>
    <x v="1"/>
    <n v="1"/>
    <x v="1"/>
    <n v="3.1"/>
  </r>
  <r>
    <s v="T1210"/>
    <x v="4"/>
    <d v="2026-09-12T00:00:00"/>
    <d v="1899-12-30T06:45:00"/>
    <n v="37"/>
    <n v="38"/>
    <n v="3"/>
    <s v="Suburban Link"/>
    <n v="24.8"/>
    <n v="28"/>
    <x v="4"/>
    <x v="1"/>
    <n v="1"/>
    <n v="0"/>
    <s v="Tech Expo"/>
    <n v="1"/>
    <n v="1"/>
    <n v="0"/>
    <x v="12"/>
    <n v="0"/>
    <x v="1"/>
    <n v="1.49"/>
  </r>
  <r>
    <s v="T1211"/>
    <x v="1"/>
    <d v="2026-09-04T00:00:00"/>
    <d v="1899-12-30T09:45:00"/>
    <n v="118"/>
    <n v="108"/>
    <n v="6"/>
    <s v="Airport Express"/>
    <n v="32"/>
    <n v="14"/>
    <x v="1"/>
    <x v="3"/>
    <n v="0"/>
    <n v="0"/>
    <s v=""/>
    <n v="1"/>
    <n v="1"/>
    <n v="1"/>
    <x v="4"/>
    <n v="1"/>
    <x v="0"/>
    <n v="3.69"/>
  </r>
  <r>
    <s v="T1212"/>
    <x v="3"/>
    <d v="2026-09-16T00:00:00"/>
    <d v="1899-12-30T12:15:00"/>
    <n v="163"/>
    <n v="158"/>
    <n v="7"/>
    <s v="Corridor North"/>
    <n v="18.5"/>
    <n v="22"/>
    <x v="3"/>
    <x v="6"/>
    <n v="0"/>
    <n v="0"/>
    <s v=""/>
    <n v="1"/>
    <n v="1"/>
    <n v="1"/>
    <x v="14"/>
    <n v="0"/>
    <x v="0"/>
    <n v="8.81"/>
  </r>
  <r>
    <s v="T1213"/>
    <x v="0"/>
    <d v="2026-09-04T00:00:00"/>
    <d v="1899-12-30T12:15:00"/>
    <n v="69"/>
    <n v="71"/>
    <n v="3"/>
    <s v="Tech Park Shuttle"/>
    <n v="15"/>
    <n v="16"/>
    <x v="0"/>
    <x v="3"/>
    <n v="0"/>
    <n v="0"/>
    <s v=""/>
    <n v="1"/>
    <n v="1"/>
    <n v="2"/>
    <x v="14"/>
    <n v="0"/>
    <x v="0"/>
    <n v="4.5999999999999996"/>
  </r>
  <r>
    <s v="T1214"/>
    <x v="1"/>
    <d v="2026-09-05T00:00:00"/>
    <d v="1899-12-30T07:15:00"/>
    <n v="122"/>
    <n v="109"/>
    <n v="6"/>
    <s v="Airport Express"/>
    <n v="32"/>
    <n v="14"/>
    <x v="1"/>
    <x v="1"/>
    <n v="1"/>
    <n v="1"/>
    <s v=""/>
    <n v="1"/>
    <n v="1"/>
    <n v="0"/>
    <x v="6"/>
    <n v="0"/>
    <x v="0"/>
    <n v="3.81"/>
  </r>
  <r>
    <s v="T1215"/>
    <x v="3"/>
    <d v="2026-09-24T00:00:00"/>
    <d v="1899-12-30T16:00:00"/>
    <n v="157"/>
    <n v="159"/>
    <n v="6"/>
    <s v="Corridor North"/>
    <n v="18.5"/>
    <n v="22"/>
    <x v="3"/>
    <x v="4"/>
    <n v="0"/>
    <n v="0"/>
    <s v=""/>
    <n v="1"/>
    <n v="1"/>
    <n v="0"/>
    <x v="2"/>
    <n v="0"/>
    <x v="0"/>
    <n v="8.49"/>
  </r>
  <r>
    <s v="T1216"/>
    <x v="0"/>
    <d v="2026-09-05T00:00:00"/>
    <d v="1899-12-30T07:15:00"/>
    <n v="105"/>
    <n v="107"/>
    <n v="5"/>
    <s v="Tech Park Shuttle"/>
    <n v="15"/>
    <n v="16"/>
    <x v="0"/>
    <x v="1"/>
    <n v="1"/>
    <n v="1"/>
    <s v=""/>
    <n v="1"/>
    <n v="1"/>
    <n v="0"/>
    <x v="6"/>
    <n v="0"/>
    <x v="0"/>
    <n v="7"/>
  </r>
  <r>
    <s v="T1217"/>
    <x v="4"/>
    <d v="2026-09-08T00:00:00"/>
    <d v="1899-12-30T10:15:00"/>
    <n v="227"/>
    <n v="208"/>
    <n v="7"/>
    <s v="Suburban Link"/>
    <n v="24.8"/>
    <n v="28"/>
    <x v="4"/>
    <x v="0"/>
    <n v="0"/>
    <n v="0"/>
    <s v=""/>
    <n v="1"/>
    <n v="1"/>
    <n v="0"/>
    <x v="3"/>
    <n v="1"/>
    <x v="0"/>
    <n v="9.15"/>
  </r>
  <r>
    <s v="T1218"/>
    <x v="3"/>
    <d v="2026-09-10T00:00:00"/>
    <d v="1899-12-30T16:15:00"/>
    <n v="83"/>
    <n v="83"/>
    <n v="5"/>
    <s v="Corridor North"/>
    <n v="18.5"/>
    <n v="22"/>
    <x v="3"/>
    <x v="4"/>
    <n v="0"/>
    <n v="0"/>
    <s v=""/>
    <n v="1"/>
    <n v="1"/>
    <n v="5"/>
    <x v="2"/>
    <n v="0"/>
    <x v="0"/>
    <n v="4.49"/>
  </r>
  <r>
    <s v="T1219"/>
    <x v="3"/>
    <d v="2026-09-17T00:00:00"/>
    <d v="1899-12-30T10:00:00"/>
    <n v="95"/>
    <n v="100"/>
    <n v="5"/>
    <s v="Corridor North"/>
    <n v="18.5"/>
    <n v="22"/>
    <x v="3"/>
    <x v="4"/>
    <n v="0"/>
    <n v="0"/>
    <s v=""/>
    <n v="1"/>
    <n v="1"/>
    <n v="3"/>
    <x v="3"/>
    <n v="1"/>
    <x v="0"/>
    <n v="5.14"/>
  </r>
  <r>
    <s v="T1220"/>
    <x v="3"/>
    <d v="2026-09-28T00:00:00"/>
    <d v="1899-12-30T07:15:00"/>
    <n v="114"/>
    <n v="120"/>
    <n v="5"/>
    <s v="Corridor North"/>
    <n v="18.5"/>
    <n v="22"/>
    <x v="3"/>
    <x v="5"/>
    <n v="0"/>
    <n v="0"/>
    <s v=""/>
    <n v="1"/>
    <n v="1"/>
    <n v="4"/>
    <x v="6"/>
    <n v="0"/>
    <x v="0"/>
    <n v="6.16"/>
  </r>
  <r>
    <s v="T1221"/>
    <x v="1"/>
    <d v="2026-09-26T00:00:00"/>
    <d v="1899-12-30T12:15:00"/>
    <n v="146"/>
    <n v="144"/>
    <n v="5"/>
    <s v="Airport Express"/>
    <n v="32"/>
    <n v="14"/>
    <x v="1"/>
    <x v="1"/>
    <n v="1"/>
    <n v="0"/>
    <s v=""/>
    <n v="1"/>
    <n v="1"/>
    <n v="0"/>
    <x v="14"/>
    <n v="0"/>
    <x v="0"/>
    <n v="4.5599999999999996"/>
  </r>
  <r>
    <s v="T1222"/>
    <x v="4"/>
    <d v="2026-09-09T00:00:00"/>
    <d v="1899-12-30T16:15:00"/>
    <n v="27"/>
    <n v="25"/>
    <n v="4"/>
    <s v="Suburban Link"/>
    <n v="24.8"/>
    <n v="28"/>
    <x v="4"/>
    <x v="6"/>
    <n v="0"/>
    <n v="0"/>
    <s v=""/>
    <n v="1"/>
    <n v="1"/>
    <n v="12"/>
    <x v="2"/>
    <n v="0"/>
    <x v="0"/>
    <n v="1.0900000000000001"/>
  </r>
  <r>
    <s v="T1223"/>
    <x v="3"/>
    <d v="2026-09-22T00:00:00"/>
    <d v="1899-12-30T08:00:00"/>
    <n v="56"/>
    <n v="54"/>
    <n v="3"/>
    <s v="Corridor North"/>
    <n v="18.5"/>
    <n v="22"/>
    <x v="3"/>
    <x v="0"/>
    <n v="0"/>
    <n v="0"/>
    <s v=""/>
    <n v="1"/>
    <n v="1"/>
    <n v="5"/>
    <x v="13"/>
    <n v="1"/>
    <x v="0"/>
    <n v="3.03"/>
  </r>
  <r>
    <s v="T1224"/>
    <x v="1"/>
    <d v="2026-09-19T00:00:00"/>
    <d v="1899-12-30T17:00:00"/>
    <n v="110"/>
    <n v="114"/>
    <n v="5"/>
    <s v="Airport Express"/>
    <n v="32"/>
    <n v="14"/>
    <x v="1"/>
    <x v="1"/>
    <n v="1"/>
    <n v="1"/>
    <s v=""/>
    <n v="1"/>
    <n v="1"/>
    <n v="2"/>
    <x v="1"/>
    <n v="1"/>
    <x v="0"/>
    <n v="3.44"/>
  </r>
  <r>
    <s v="T1225"/>
    <x v="2"/>
    <d v="2026-09-29T00:00:00"/>
    <d v="1899-12-30T19:00:00"/>
    <n v="162"/>
    <n v="167"/>
    <n v="4"/>
    <s v="Downtown Loop"/>
    <n v="12.2"/>
    <n v="18"/>
    <x v="2"/>
    <x v="0"/>
    <n v="0"/>
    <n v="0"/>
    <s v=""/>
    <n v="1"/>
    <n v="1"/>
    <n v="4"/>
    <x v="8"/>
    <n v="1"/>
    <x v="0"/>
    <n v="13.28"/>
  </r>
  <r>
    <s v="T1226"/>
    <x v="3"/>
    <d v="2026-09-14T00:00:00"/>
    <d v="1899-12-30T20:15:00"/>
    <n v="118"/>
    <n v="127"/>
    <n v="7"/>
    <s v="Corridor North"/>
    <n v="18.5"/>
    <n v="22"/>
    <x v="3"/>
    <x v="5"/>
    <n v="0"/>
    <n v="0"/>
    <s v=""/>
    <n v="1"/>
    <n v="1"/>
    <n v="2"/>
    <x v="15"/>
    <n v="0"/>
    <x v="0"/>
    <n v="6.38"/>
  </r>
  <r>
    <s v="T1227"/>
    <x v="1"/>
    <d v="2026-09-08T00:00:00"/>
    <d v="1899-12-30T20:45:00"/>
    <n v="47"/>
    <n v="48"/>
    <n v="4"/>
    <s v="Airport Express"/>
    <n v="32"/>
    <n v="14"/>
    <x v="1"/>
    <x v="0"/>
    <n v="0"/>
    <n v="0"/>
    <s v=""/>
    <n v="1"/>
    <n v="1"/>
    <n v="25"/>
    <x v="15"/>
    <n v="0"/>
    <x v="0"/>
    <n v="1.47"/>
  </r>
  <r>
    <s v="T1228"/>
    <x v="0"/>
    <d v="2026-09-09T00:00:00"/>
    <d v="1899-12-30T21:45:00"/>
    <n v="109"/>
    <n v="101"/>
    <n v="5"/>
    <s v="Tech Park Shuttle"/>
    <n v="15"/>
    <n v="16"/>
    <x v="0"/>
    <x v="6"/>
    <n v="0"/>
    <n v="0"/>
    <s v=""/>
    <n v="1"/>
    <n v="1"/>
    <n v="6"/>
    <x v="10"/>
    <n v="0"/>
    <x v="0"/>
    <n v="7.27"/>
  </r>
  <r>
    <s v="T1229"/>
    <x v="4"/>
    <d v="2026-09-22T00:00:00"/>
    <d v="1899-12-30T16:45:00"/>
    <n v="201"/>
    <n v="197"/>
    <n v="7"/>
    <s v="Suburban Link"/>
    <n v="24.8"/>
    <n v="28"/>
    <x v="4"/>
    <x v="0"/>
    <n v="0"/>
    <n v="0"/>
    <s v=""/>
    <n v="1"/>
    <n v="1"/>
    <n v="0"/>
    <x v="2"/>
    <n v="0"/>
    <x v="0"/>
    <n v="8.1"/>
  </r>
  <r>
    <s v="T1230"/>
    <x v="1"/>
    <d v="2026-09-11T00:00:00"/>
    <d v="1899-12-30T07:45:00"/>
    <n v="103"/>
    <n v="105"/>
    <n v="5"/>
    <s v="Airport Express"/>
    <n v="32"/>
    <n v="14"/>
    <x v="1"/>
    <x v="3"/>
    <n v="0"/>
    <n v="0"/>
    <s v=""/>
    <n v="1"/>
    <n v="1"/>
    <n v="7"/>
    <x v="6"/>
    <n v="0"/>
    <x v="0"/>
    <n v="3.22"/>
  </r>
  <r>
    <s v="T1231"/>
    <x v="3"/>
    <d v="2026-09-23T00:00:00"/>
    <d v="1899-12-30T17:30:00"/>
    <n v="139"/>
    <n v="138"/>
    <n v="5"/>
    <s v="Corridor North"/>
    <n v="18.5"/>
    <n v="22"/>
    <x v="3"/>
    <x v="6"/>
    <n v="0"/>
    <n v="0"/>
    <s v=""/>
    <n v="1"/>
    <n v="1"/>
    <n v="4"/>
    <x v="1"/>
    <n v="1"/>
    <x v="0"/>
    <n v="7.51"/>
  </r>
  <r>
    <s v="T1232"/>
    <x v="4"/>
    <d v="2026-09-01T00:00:00"/>
    <d v="1899-12-30T12:15:00"/>
    <n v="98"/>
    <n v="96"/>
    <n v="5"/>
    <s v="Suburban Link"/>
    <n v="24.8"/>
    <n v="28"/>
    <x v="4"/>
    <x v="0"/>
    <n v="0"/>
    <n v="0"/>
    <s v=""/>
    <n v="1"/>
    <n v="1"/>
    <n v="7"/>
    <x v="14"/>
    <n v="0"/>
    <x v="0"/>
    <n v="3.95"/>
  </r>
  <r>
    <s v="T1233"/>
    <x v="2"/>
    <d v="2026-09-14T00:00:00"/>
    <d v="1899-12-30T09:45:00"/>
    <n v="104"/>
    <n v="95"/>
    <n v="5"/>
    <s v="Downtown Loop"/>
    <n v="12.2"/>
    <n v="18"/>
    <x v="2"/>
    <x v="5"/>
    <n v="0"/>
    <n v="0"/>
    <s v=""/>
    <n v="1"/>
    <n v="1"/>
    <n v="4"/>
    <x v="4"/>
    <n v="1"/>
    <x v="0"/>
    <n v="8.52"/>
  </r>
  <r>
    <s v="T1234"/>
    <x v="3"/>
    <d v="2026-09-05T00:00:00"/>
    <d v="1899-12-30T12:45:00"/>
    <n v="132"/>
    <n v="131"/>
    <n v="5"/>
    <s v="Corridor North"/>
    <n v="18.5"/>
    <n v="22"/>
    <x v="3"/>
    <x v="1"/>
    <n v="1"/>
    <n v="1"/>
    <s v=""/>
    <n v="1"/>
    <n v="1"/>
    <n v="4"/>
    <x v="14"/>
    <n v="0"/>
    <x v="0"/>
    <n v="7.14"/>
  </r>
  <r>
    <s v="T1235"/>
    <x v="1"/>
    <d v="2026-09-21T00:00:00"/>
    <d v="1899-12-30T16:00:00"/>
    <n v="179"/>
    <n v="195"/>
    <n v="6"/>
    <s v="Airport Express"/>
    <n v="32"/>
    <n v="14"/>
    <x v="1"/>
    <x v="5"/>
    <n v="0"/>
    <n v="0"/>
    <s v=""/>
    <n v="1"/>
    <n v="1"/>
    <n v="11"/>
    <x v="2"/>
    <n v="0"/>
    <x v="0"/>
    <n v="5.59"/>
  </r>
  <r>
    <s v="T1236"/>
    <x v="3"/>
    <d v="2026-09-26T00:00:00"/>
    <d v="1899-12-30T10:15:00"/>
    <n v="194"/>
    <n v="192"/>
    <n v="6"/>
    <s v="Corridor North"/>
    <n v="18.5"/>
    <n v="22"/>
    <x v="3"/>
    <x v="1"/>
    <n v="1"/>
    <n v="0"/>
    <s v=""/>
    <n v="1"/>
    <n v="1"/>
    <n v="1"/>
    <x v="3"/>
    <n v="1"/>
    <x v="0"/>
    <n v="10.49"/>
  </r>
  <r>
    <s v="T1237"/>
    <x v="1"/>
    <d v="2026-09-14T00:00:00"/>
    <d v="1899-12-30T22:45:00"/>
    <n v="113"/>
    <n v="119"/>
    <n v="7"/>
    <s v="Airport Express"/>
    <n v="32"/>
    <n v="14"/>
    <x v="1"/>
    <x v="5"/>
    <n v="0"/>
    <n v="0"/>
    <s v=""/>
    <n v="1"/>
    <n v="1"/>
    <n v="8"/>
    <x v="11"/>
    <n v="0"/>
    <x v="0"/>
    <n v="3.53"/>
  </r>
  <r>
    <s v="T1238"/>
    <x v="0"/>
    <d v="2026-09-04T00:00:00"/>
    <d v="1899-12-30T11:45:00"/>
    <n v="166"/>
    <n v="169"/>
    <n v="7"/>
    <s v="Tech Park Shuttle"/>
    <n v="15"/>
    <n v="16"/>
    <x v="0"/>
    <x v="3"/>
    <n v="0"/>
    <n v="0"/>
    <s v=""/>
    <n v="1"/>
    <n v="1"/>
    <n v="18"/>
    <x v="9"/>
    <n v="0"/>
    <x v="0"/>
    <n v="11.07"/>
  </r>
  <r>
    <s v="T1239"/>
    <x v="1"/>
    <d v="2026-09-22T00:00:00"/>
    <d v="1899-12-30T05:00:00"/>
    <n v="129"/>
    <n v="142"/>
    <n v="5"/>
    <s v="Airport Express"/>
    <n v="32"/>
    <n v="14"/>
    <x v="1"/>
    <x v="0"/>
    <n v="0"/>
    <n v="0"/>
    <s v=""/>
    <n v="1"/>
    <n v="1"/>
    <n v="6"/>
    <x v="16"/>
    <n v="0"/>
    <x v="0"/>
    <n v="4.03"/>
  </r>
  <r>
    <s v="T1240"/>
    <x v="4"/>
    <d v="2026-09-23T00:00:00"/>
    <d v="1899-12-30T20:45:00"/>
    <n v="75"/>
    <n v="77"/>
    <n v="4"/>
    <s v="Suburban Link"/>
    <n v="24.8"/>
    <n v="28"/>
    <x v="4"/>
    <x v="6"/>
    <n v="0"/>
    <n v="0"/>
    <s v=""/>
    <n v="1"/>
    <n v="1"/>
    <n v="3"/>
    <x v="15"/>
    <n v="0"/>
    <x v="0"/>
    <n v="3.02"/>
  </r>
  <r>
    <s v="T1241"/>
    <x v="3"/>
    <d v="2026-09-25T00:00:00"/>
    <d v="1899-12-30T10:45:00"/>
    <n v="44"/>
    <n v="53"/>
    <n v="5"/>
    <s v="Corridor North"/>
    <n v="18.5"/>
    <n v="22"/>
    <x v="3"/>
    <x v="3"/>
    <n v="0"/>
    <n v="0"/>
    <s v=""/>
    <n v="1"/>
    <n v="1"/>
    <n v="2"/>
    <x v="3"/>
    <n v="1"/>
    <x v="0"/>
    <n v="2.38"/>
  </r>
  <r>
    <s v="T1242"/>
    <x v="1"/>
    <d v="2026-09-01T00:00:00"/>
    <d v="1899-12-30T06:00:00"/>
    <n v="104"/>
    <n v="112"/>
    <n v="6"/>
    <s v="Airport Express"/>
    <n v="32"/>
    <n v="14"/>
    <x v="1"/>
    <x v="0"/>
    <n v="0"/>
    <n v="0"/>
    <s v=""/>
    <n v="1"/>
    <n v="1"/>
    <n v="6"/>
    <x v="12"/>
    <n v="0"/>
    <x v="0"/>
    <n v="3.25"/>
  </r>
  <r>
    <s v="T1243"/>
    <x v="3"/>
    <d v="2026-09-22T00:00:00"/>
    <d v="1899-12-30T18:45:00"/>
    <n v="79"/>
    <n v="76"/>
    <n v="3"/>
    <s v="Corridor North"/>
    <n v="18.5"/>
    <n v="22"/>
    <x v="3"/>
    <x v="0"/>
    <n v="0"/>
    <n v="0"/>
    <s v=""/>
    <n v="1"/>
    <n v="1"/>
    <n v="3"/>
    <x v="0"/>
    <n v="1"/>
    <x v="0"/>
    <n v="4.2699999999999996"/>
  </r>
  <r>
    <s v="T1244"/>
    <x v="4"/>
    <d v="2026-09-23T00:00:00"/>
    <d v="1899-12-30T05:30:00"/>
    <n v="94"/>
    <n v="85"/>
    <n v="3"/>
    <s v="Suburban Link"/>
    <n v="24.8"/>
    <n v="28"/>
    <x v="4"/>
    <x v="6"/>
    <n v="0"/>
    <n v="0"/>
    <s v=""/>
    <n v="1"/>
    <n v="1"/>
    <n v="4"/>
    <x v="16"/>
    <n v="0"/>
    <x v="0"/>
    <n v="3.79"/>
  </r>
  <r>
    <s v="T1245"/>
    <x v="3"/>
    <d v="2026-09-19T00:00:00"/>
    <d v="1899-12-30T22:00:00"/>
    <n v="145"/>
    <n v="133"/>
    <n v="7"/>
    <s v="Corridor North"/>
    <n v="18.5"/>
    <n v="22"/>
    <x v="3"/>
    <x v="1"/>
    <n v="1"/>
    <n v="1"/>
    <s v=""/>
    <n v="1"/>
    <n v="1"/>
    <n v="4"/>
    <x v="11"/>
    <n v="0"/>
    <x v="0"/>
    <n v="7.84"/>
  </r>
  <r>
    <s v="T1246"/>
    <x v="3"/>
    <d v="2026-09-08T00:00:00"/>
    <d v="1899-12-30T06:00:00"/>
    <n v="123"/>
    <n v="120"/>
    <n v="6"/>
    <s v="Corridor North"/>
    <n v="18.5"/>
    <n v="22"/>
    <x v="3"/>
    <x v="0"/>
    <n v="0"/>
    <n v="0"/>
    <s v=""/>
    <n v="1"/>
    <n v="1"/>
    <n v="3"/>
    <x v="12"/>
    <n v="0"/>
    <x v="0"/>
    <n v="6.65"/>
  </r>
  <r>
    <s v="T1247"/>
    <x v="1"/>
    <d v="2026-09-15T00:00:00"/>
    <d v="1899-12-30T06:30:00"/>
    <n v="197"/>
    <n v="187"/>
    <n v="5"/>
    <s v="Airport Express"/>
    <n v="32"/>
    <n v="14"/>
    <x v="1"/>
    <x v="0"/>
    <n v="0"/>
    <n v="0"/>
    <s v=""/>
    <n v="1"/>
    <n v="1"/>
    <n v="4"/>
    <x v="12"/>
    <n v="0"/>
    <x v="0"/>
    <n v="6.16"/>
  </r>
  <r>
    <s v="T1248"/>
    <x v="1"/>
    <d v="2026-09-21T00:00:00"/>
    <d v="1899-12-30T13:00:00"/>
    <n v="176"/>
    <n v="160"/>
    <n v="7"/>
    <s v="Airport Express"/>
    <n v="32"/>
    <n v="14"/>
    <x v="1"/>
    <x v="5"/>
    <n v="0"/>
    <n v="0"/>
    <s v=""/>
    <n v="1"/>
    <n v="1"/>
    <n v="1"/>
    <x v="5"/>
    <n v="0"/>
    <x v="0"/>
    <n v="5.5"/>
  </r>
  <r>
    <s v="T1249"/>
    <x v="4"/>
    <d v="2026-09-15T00:00:00"/>
    <d v="1899-12-30T15:30:00"/>
    <n v="146"/>
    <n v="152"/>
    <n v="7"/>
    <s v="Suburban Link"/>
    <n v="24.8"/>
    <n v="28"/>
    <x v="4"/>
    <x v="0"/>
    <n v="0"/>
    <n v="0"/>
    <s v=""/>
    <n v="1"/>
    <n v="1"/>
    <n v="2"/>
    <x v="17"/>
    <n v="0"/>
    <x v="0"/>
    <n v="5.89"/>
  </r>
  <r>
    <s v="T1250"/>
    <x v="0"/>
    <d v="2026-09-09T00:00:00"/>
    <d v="1899-12-30T08:15:00"/>
    <n v="50"/>
    <n v="54"/>
    <n v="3"/>
    <s v="Tech Park Shuttle"/>
    <n v="15"/>
    <n v="16"/>
    <x v="0"/>
    <x v="6"/>
    <n v="0"/>
    <n v="0"/>
    <s v=""/>
    <n v="1"/>
    <n v="1"/>
    <n v="4"/>
    <x v="13"/>
    <n v="1"/>
    <x v="0"/>
    <n v="3.33"/>
  </r>
  <r>
    <s v="T1251"/>
    <x v="3"/>
    <d v="2026-09-21T00:00:00"/>
    <d v="1899-12-30T10:30:00"/>
    <n v="114"/>
    <n v="110"/>
    <n v="4"/>
    <s v="Corridor North"/>
    <n v="18.5"/>
    <n v="22"/>
    <x v="3"/>
    <x v="5"/>
    <n v="0"/>
    <n v="0"/>
    <s v=""/>
    <n v="1"/>
    <n v="1"/>
    <n v="0"/>
    <x v="3"/>
    <n v="1"/>
    <x v="0"/>
    <n v="6.16"/>
  </r>
  <r>
    <s v="T1252"/>
    <x v="1"/>
    <d v="2026-09-09T00:00:00"/>
    <d v="1899-12-30T15:30:00"/>
    <n v="64"/>
    <n v="73"/>
    <n v="4"/>
    <s v="Airport Express"/>
    <n v="32"/>
    <n v="14"/>
    <x v="1"/>
    <x v="6"/>
    <n v="0"/>
    <n v="0"/>
    <s v=""/>
    <n v="1"/>
    <n v="1"/>
    <n v="7"/>
    <x v="17"/>
    <n v="0"/>
    <x v="0"/>
    <n v="2"/>
  </r>
  <r>
    <s v="T1253"/>
    <x v="3"/>
    <d v="2026-09-10T00:00:00"/>
    <d v="1899-12-30T09:45:00"/>
    <n v="32"/>
    <n v="26"/>
    <n v="2"/>
    <s v="Corridor North"/>
    <n v="18.5"/>
    <n v="22"/>
    <x v="3"/>
    <x v="4"/>
    <n v="0"/>
    <n v="0"/>
    <s v=""/>
    <n v="1"/>
    <n v="1"/>
    <n v="19"/>
    <x v="4"/>
    <n v="1"/>
    <x v="0"/>
    <n v="1.73"/>
  </r>
  <r>
    <s v="T1254"/>
    <x v="2"/>
    <d v="2026-09-20T00:00:00"/>
    <d v="1899-12-30T14:45:00"/>
    <n v="83"/>
    <n v="88"/>
    <n v="6"/>
    <s v="Downtown Loop"/>
    <n v="12.2"/>
    <n v="18"/>
    <x v="2"/>
    <x v="2"/>
    <n v="1"/>
    <n v="0"/>
    <s v="Marathon"/>
    <n v="1"/>
    <n v="1"/>
    <n v="24"/>
    <x v="7"/>
    <n v="0"/>
    <x v="1"/>
    <n v="6.8"/>
  </r>
  <r>
    <s v="T1255"/>
    <x v="3"/>
    <d v="2026-09-25T00:00:00"/>
    <d v="1899-12-30T19:00:00"/>
    <n v="152"/>
    <n v="157"/>
    <n v="3"/>
    <s v="Corridor North"/>
    <n v="18.5"/>
    <n v="22"/>
    <x v="3"/>
    <x v="3"/>
    <n v="0"/>
    <n v="0"/>
    <s v=""/>
    <n v="1"/>
    <n v="1"/>
    <n v="0"/>
    <x v="8"/>
    <n v="1"/>
    <x v="0"/>
    <n v="8.2200000000000006"/>
  </r>
  <r>
    <s v="T1256"/>
    <x v="3"/>
    <d v="2026-09-21T00:00:00"/>
    <d v="1899-12-30T14:15:00"/>
    <n v="130"/>
    <n v="129"/>
    <n v="7"/>
    <s v="Corridor North"/>
    <n v="18.5"/>
    <n v="22"/>
    <x v="3"/>
    <x v="5"/>
    <n v="0"/>
    <n v="0"/>
    <s v=""/>
    <n v="1"/>
    <n v="1"/>
    <n v="13"/>
    <x v="7"/>
    <n v="0"/>
    <x v="0"/>
    <n v="7.03"/>
  </r>
  <r>
    <s v="T1257"/>
    <x v="1"/>
    <d v="2026-09-26T00:00:00"/>
    <d v="1899-12-30T22:00:00"/>
    <n v="120"/>
    <n v="113"/>
    <n v="4"/>
    <s v="Airport Express"/>
    <n v="32"/>
    <n v="14"/>
    <x v="1"/>
    <x v="1"/>
    <n v="1"/>
    <n v="0"/>
    <s v=""/>
    <n v="1"/>
    <n v="1"/>
    <n v="0"/>
    <x v="11"/>
    <n v="0"/>
    <x v="0"/>
    <n v="3.75"/>
  </r>
  <r>
    <s v="T1258"/>
    <x v="3"/>
    <d v="2026-09-09T00:00:00"/>
    <d v="1899-12-30T07:15:00"/>
    <n v="159"/>
    <n v="166"/>
    <n v="5"/>
    <s v="Corridor North"/>
    <n v="18.5"/>
    <n v="22"/>
    <x v="3"/>
    <x v="6"/>
    <n v="0"/>
    <n v="0"/>
    <s v=""/>
    <n v="1"/>
    <n v="1"/>
    <n v="2"/>
    <x v="6"/>
    <n v="0"/>
    <x v="0"/>
    <n v="8.59"/>
  </r>
  <r>
    <s v="T1259"/>
    <x v="3"/>
    <d v="2026-09-03T00:00:00"/>
    <d v="1899-12-30T14:15:00"/>
    <n v="155"/>
    <n v="149"/>
    <n v="4"/>
    <s v="Corridor North"/>
    <n v="18.5"/>
    <n v="22"/>
    <x v="3"/>
    <x v="4"/>
    <n v="0"/>
    <n v="0"/>
    <s v=""/>
    <n v="1"/>
    <n v="0"/>
    <n v="2"/>
    <x v="7"/>
    <n v="0"/>
    <x v="0"/>
    <n v="8.3800000000000008"/>
  </r>
  <r>
    <s v="T1260"/>
    <x v="3"/>
    <d v="2026-09-20T00:00:00"/>
    <d v="1899-12-30T18:15:00"/>
    <n v="103"/>
    <n v="98"/>
    <n v="3"/>
    <s v="Corridor North"/>
    <n v="18.5"/>
    <n v="22"/>
    <x v="3"/>
    <x v="2"/>
    <n v="1"/>
    <n v="0"/>
    <s v="Marathon"/>
    <n v="1"/>
    <n v="1"/>
    <n v="5"/>
    <x v="0"/>
    <n v="1"/>
    <x v="1"/>
    <n v="5.57"/>
  </r>
  <r>
    <s v="T1261"/>
    <x v="1"/>
    <d v="2026-09-25T00:00:00"/>
    <d v="1899-12-30T07:45:00"/>
    <n v="77"/>
    <n v="78"/>
    <n v="3"/>
    <s v="Airport Express"/>
    <n v="32"/>
    <n v="14"/>
    <x v="1"/>
    <x v="3"/>
    <n v="0"/>
    <n v="0"/>
    <s v=""/>
    <n v="1"/>
    <n v="1"/>
    <n v="4"/>
    <x v="6"/>
    <n v="0"/>
    <x v="0"/>
    <n v="2.41"/>
  </r>
  <r>
    <s v="T1262"/>
    <x v="4"/>
    <d v="2026-09-26T00:00:00"/>
    <d v="1899-12-30T11:45:00"/>
    <n v="82"/>
    <n v="80"/>
    <n v="2"/>
    <s v="Suburban Link"/>
    <n v="24.8"/>
    <n v="28"/>
    <x v="4"/>
    <x v="1"/>
    <n v="1"/>
    <n v="0"/>
    <s v=""/>
    <n v="1"/>
    <n v="1"/>
    <n v="33"/>
    <x v="9"/>
    <n v="0"/>
    <x v="0"/>
    <n v="3.31"/>
  </r>
  <r>
    <s v="T1263"/>
    <x v="0"/>
    <d v="2026-09-11T00:00:00"/>
    <d v="1899-12-30T18:00:00"/>
    <n v="85"/>
    <n v="90"/>
    <n v="5"/>
    <s v="Tech Park Shuttle"/>
    <n v="15"/>
    <n v="16"/>
    <x v="0"/>
    <x v="3"/>
    <n v="0"/>
    <n v="0"/>
    <s v=""/>
    <n v="1"/>
    <n v="1"/>
    <n v="3"/>
    <x v="0"/>
    <n v="1"/>
    <x v="0"/>
    <n v="5.67"/>
  </r>
  <r>
    <s v="T1264"/>
    <x v="2"/>
    <d v="2026-09-06T00:00:00"/>
    <d v="1899-12-30T19:00:00"/>
    <n v="109"/>
    <n v="102"/>
    <n v="5"/>
    <s v="Downtown Loop"/>
    <n v="12.2"/>
    <n v="18"/>
    <x v="2"/>
    <x v="2"/>
    <n v="1"/>
    <n v="0"/>
    <s v=""/>
    <n v="1"/>
    <n v="1"/>
    <n v="0"/>
    <x v="8"/>
    <n v="1"/>
    <x v="0"/>
    <n v="8.93"/>
  </r>
  <r>
    <s v="T1265"/>
    <x v="3"/>
    <d v="2026-09-02T00:00:00"/>
    <d v="1899-12-30T07:15:00"/>
    <n v="50"/>
    <n v="49"/>
    <n v="4"/>
    <s v="Corridor North"/>
    <n v="18.5"/>
    <n v="22"/>
    <x v="3"/>
    <x v="6"/>
    <n v="0"/>
    <n v="0"/>
    <s v=""/>
    <n v="1"/>
    <n v="1"/>
    <n v="0"/>
    <x v="6"/>
    <n v="0"/>
    <x v="0"/>
    <n v="2.7"/>
  </r>
  <r>
    <s v="T1266"/>
    <x v="3"/>
    <d v="2026-09-07T00:00:00"/>
    <d v="1899-12-30T06:30:00"/>
    <n v="18"/>
    <n v="19"/>
    <n v="3"/>
    <s v="Corridor North"/>
    <n v="18.5"/>
    <n v="22"/>
    <x v="3"/>
    <x v="5"/>
    <n v="0"/>
    <n v="0"/>
    <s v=""/>
    <n v="1"/>
    <n v="1"/>
    <n v="0"/>
    <x v="12"/>
    <n v="0"/>
    <x v="0"/>
    <n v="0.97"/>
  </r>
  <r>
    <s v="T1267"/>
    <x v="1"/>
    <d v="2026-09-18T00:00:00"/>
    <d v="1899-12-30T22:15:00"/>
    <n v="131"/>
    <n v="127"/>
    <n v="5"/>
    <s v="Airport Express"/>
    <n v="32"/>
    <n v="14"/>
    <x v="1"/>
    <x v="3"/>
    <n v="0"/>
    <n v="0"/>
    <s v=""/>
    <n v="1"/>
    <n v="1"/>
    <n v="4"/>
    <x v="11"/>
    <n v="0"/>
    <x v="0"/>
    <n v="4.09"/>
  </r>
  <r>
    <s v="T1268"/>
    <x v="4"/>
    <d v="2026-09-27T00:00:00"/>
    <d v="1899-12-30T22:45:00"/>
    <n v="176"/>
    <n v="176"/>
    <n v="5"/>
    <s v="Suburban Link"/>
    <n v="24.8"/>
    <n v="28"/>
    <x v="4"/>
    <x v="2"/>
    <n v="1"/>
    <n v="0"/>
    <s v="Music Fest"/>
    <n v="1"/>
    <n v="1"/>
    <n v="9"/>
    <x v="11"/>
    <n v="0"/>
    <x v="1"/>
    <n v="7.1"/>
  </r>
  <r>
    <s v="T1269"/>
    <x v="3"/>
    <d v="2026-09-02T00:00:00"/>
    <d v="1899-12-30T14:00:00"/>
    <n v="58"/>
    <n v="55"/>
    <n v="3"/>
    <s v="Corridor North"/>
    <n v="18.5"/>
    <n v="22"/>
    <x v="3"/>
    <x v="6"/>
    <n v="0"/>
    <n v="0"/>
    <s v=""/>
    <n v="1"/>
    <n v="1"/>
    <n v="6"/>
    <x v="7"/>
    <n v="0"/>
    <x v="0"/>
    <n v="3.14"/>
  </r>
  <r>
    <s v="T1270"/>
    <x v="2"/>
    <d v="2026-09-27T00:00:00"/>
    <d v="1899-12-30T06:00:00"/>
    <n v="80"/>
    <n v="78"/>
    <n v="3"/>
    <s v="Downtown Loop"/>
    <n v="12.2"/>
    <n v="18"/>
    <x v="2"/>
    <x v="2"/>
    <n v="1"/>
    <n v="0"/>
    <s v="Music Fest"/>
    <n v="1"/>
    <n v="1"/>
    <n v="10"/>
    <x v="12"/>
    <n v="0"/>
    <x v="1"/>
    <n v="6.56"/>
  </r>
  <r>
    <s v="T1271"/>
    <x v="1"/>
    <d v="2026-09-17T00:00:00"/>
    <d v="1899-12-30T05:45:00"/>
    <n v="67"/>
    <n v="69"/>
    <n v="7"/>
    <s v="Airport Express"/>
    <n v="32"/>
    <n v="14"/>
    <x v="1"/>
    <x v="4"/>
    <n v="0"/>
    <n v="0"/>
    <s v=""/>
    <n v="1"/>
    <n v="1"/>
    <n v="11"/>
    <x v="16"/>
    <n v="0"/>
    <x v="0"/>
    <n v="2.09"/>
  </r>
  <r>
    <s v="T1272"/>
    <x v="3"/>
    <d v="2026-09-11T00:00:00"/>
    <d v="1899-12-30T18:00:00"/>
    <n v="61"/>
    <n v="62"/>
    <n v="3"/>
    <s v="Corridor North"/>
    <n v="18.5"/>
    <n v="22"/>
    <x v="3"/>
    <x v="3"/>
    <n v="0"/>
    <n v="0"/>
    <s v=""/>
    <n v="1"/>
    <n v="1"/>
    <n v="1"/>
    <x v="0"/>
    <n v="1"/>
    <x v="0"/>
    <n v="3.3"/>
  </r>
  <r>
    <s v="T1273"/>
    <x v="4"/>
    <d v="2026-09-27T00:00:00"/>
    <d v="1899-12-30T18:45:00"/>
    <n v="121"/>
    <n v="110"/>
    <n v="5"/>
    <s v="Suburban Link"/>
    <n v="24.8"/>
    <n v="28"/>
    <x v="4"/>
    <x v="2"/>
    <n v="1"/>
    <n v="0"/>
    <s v="Music Fest"/>
    <n v="1"/>
    <n v="1"/>
    <n v="5"/>
    <x v="0"/>
    <n v="1"/>
    <x v="1"/>
    <n v="4.88"/>
  </r>
  <r>
    <s v="T1274"/>
    <x v="0"/>
    <d v="2026-09-12T00:00:00"/>
    <d v="1899-12-30T18:00:00"/>
    <n v="23"/>
    <n v="25"/>
    <n v="3"/>
    <s v="Tech Park Shuttle"/>
    <n v="15"/>
    <n v="16"/>
    <x v="0"/>
    <x v="1"/>
    <n v="1"/>
    <n v="0"/>
    <s v="Tech Expo"/>
    <n v="1"/>
    <n v="1"/>
    <n v="3"/>
    <x v="0"/>
    <n v="1"/>
    <x v="1"/>
    <n v="1.53"/>
  </r>
  <r>
    <s v="T1275"/>
    <x v="1"/>
    <d v="2026-09-27T00:00:00"/>
    <d v="1899-12-30T07:30:00"/>
    <n v="119"/>
    <n v="120"/>
    <n v="5"/>
    <s v="Airport Express"/>
    <n v="32"/>
    <n v="14"/>
    <x v="1"/>
    <x v="2"/>
    <n v="1"/>
    <n v="0"/>
    <s v="Music Fest"/>
    <n v="1"/>
    <n v="1"/>
    <n v="0"/>
    <x v="6"/>
    <n v="0"/>
    <x v="1"/>
    <n v="3.72"/>
  </r>
  <r>
    <s v="T1276"/>
    <x v="0"/>
    <d v="2026-09-19T00:00:00"/>
    <d v="1899-12-30T13:15:00"/>
    <n v="107"/>
    <n v="110"/>
    <n v="6"/>
    <s v="Tech Park Shuttle"/>
    <n v="15"/>
    <n v="16"/>
    <x v="0"/>
    <x v="1"/>
    <n v="1"/>
    <n v="1"/>
    <s v=""/>
    <n v="1"/>
    <n v="1"/>
    <n v="5"/>
    <x v="5"/>
    <n v="0"/>
    <x v="0"/>
    <n v="7.13"/>
  </r>
  <r>
    <s v="T1277"/>
    <x v="1"/>
    <d v="2026-09-22T00:00:00"/>
    <d v="1899-12-30T17:00:00"/>
    <n v="128"/>
    <n v="121"/>
    <n v="6"/>
    <s v="Airport Express"/>
    <n v="32"/>
    <n v="14"/>
    <x v="1"/>
    <x v="0"/>
    <n v="0"/>
    <n v="0"/>
    <s v=""/>
    <n v="1"/>
    <n v="1"/>
    <n v="1"/>
    <x v="1"/>
    <n v="1"/>
    <x v="0"/>
    <n v="4"/>
  </r>
  <r>
    <s v="T1278"/>
    <x v="1"/>
    <d v="2026-09-24T00:00:00"/>
    <d v="1899-12-30T06:45:00"/>
    <n v="74"/>
    <n v="67"/>
    <n v="4"/>
    <s v="Airport Express"/>
    <n v="32"/>
    <n v="14"/>
    <x v="1"/>
    <x v="4"/>
    <n v="0"/>
    <n v="0"/>
    <s v=""/>
    <n v="1"/>
    <n v="1"/>
    <n v="3"/>
    <x v="12"/>
    <n v="0"/>
    <x v="0"/>
    <n v="2.31"/>
  </r>
  <r>
    <s v="T1279"/>
    <x v="3"/>
    <d v="2026-09-25T00:00:00"/>
    <d v="1899-12-30T06:45:00"/>
    <n v="119"/>
    <n v="113"/>
    <n v="7"/>
    <s v="Corridor North"/>
    <n v="18.5"/>
    <n v="22"/>
    <x v="3"/>
    <x v="3"/>
    <n v="0"/>
    <n v="0"/>
    <s v=""/>
    <n v="1"/>
    <n v="1"/>
    <n v="0"/>
    <x v="12"/>
    <n v="0"/>
    <x v="0"/>
    <n v="6.43"/>
  </r>
  <r>
    <s v="T1280"/>
    <x v="0"/>
    <d v="2026-09-07T00:00:00"/>
    <d v="1899-12-30T19:45:00"/>
    <n v="56"/>
    <n v="50"/>
    <n v="3"/>
    <s v="Tech Park Shuttle"/>
    <n v="15"/>
    <n v="16"/>
    <x v="0"/>
    <x v="5"/>
    <n v="0"/>
    <n v="0"/>
    <s v=""/>
    <n v="1"/>
    <n v="1"/>
    <n v="2"/>
    <x v="8"/>
    <n v="1"/>
    <x v="0"/>
    <n v="3.73"/>
  </r>
  <r>
    <s v="T1281"/>
    <x v="4"/>
    <d v="2026-09-20T00:00:00"/>
    <d v="1899-12-30T17:45:00"/>
    <n v="98"/>
    <n v="93"/>
    <n v="5"/>
    <s v="Suburban Link"/>
    <n v="24.8"/>
    <n v="28"/>
    <x v="4"/>
    <x v="2"/>
    <n v="1"/>
    <n v="0"/>
    <s v="Marathon"/>
    <n v="1"/>
    <n v="1"/>
    <n v="0"/>
    <x v="1"/>
    <n v="1"/>
    <x v="1"/>
    <n v="3.95"/>
  </r>
  <r>
    <s v="T1282"/>
    <x v="2"/>
    <d v="2026-09-06T00:00:00"/>
    <d v="1899-12-30T16:45:00"/>
    <n v="111"/>
    <n v="101"/>
    <n v="5"/>
    <s v="Downtown Loop"/>
    <n v="12.2"/>
    <n v="18"/>
    <x v="2"/>
    <x v="2"/>
    <n v="1"/>
    <n v="0"/>
    <s v=""/>
    <n v="1"/>
    <n v="1"/>
    <n v="7"/>
    <x v="2"/>
    <n v="0"/>
    <x v="0"/>
    <n v="9.1"/>
  </r>
  <r>
    <s v="T1283"/>
    <x v="1"/>
    <d v="2026-09-21T00:00:00"/>
    <d v="1899-12-30T17:30:00"/>
    <n v="61"/>
    <n v="61"/>
    <n v="5"/>
    <s v="Airport Express"/>
    <n v="32"/>
    <n v="14"/>
    <x v="1"/>
    <x v="5"/>
    <n v="0"/>
    <n v="0"/>
    <s v=""/>
    <n v="1"/>
    <n v="1"/>
    <n v="1"/>
    <x v="1"/>
    <n v="1"/>
    <x v="0"/>
    <n v="1.91"/>
  </r>
  <r>
    <s v="T1284"/>
    <x v="3"/>
    <d v="2026-09-24T00:00:00"/>
    <d v="1899-12-30T18:45:00"/>
    <n v="124"/>
    <n v="140"/>
    <n v="6"/>
    <s v="Corridor North"/>
    <n v="18.5"/>
    <n v="22"/>
    <x v="3"/>
    <x v="4"/>
    <n v="0"/>
    <n v="0"/>
    <s v=""/>
    <n v="1"/>
    <n v="1"/>
    <n v="18"/>
    <x v="0"/>
    <n v="1"/>
    <x v="0"/>
    <n v="6.7"/>
  </r>
  <r>
    <s v="T1285"/>
    <x v="4"/>
    <d v="2026-09-01T00:00:00"/>
    <d v="1899-12-30T22:00:00"/>
    <n v="132"/>
    <n v="137"/>
    <n v="4"/>
    <s v="Suburban Link"/>
    <n v="24.8"/>
    <n v="28"/>
    <x v="4"/>
    <x v="0"/>
    <n v="0"/>
    <n v="0"/>
    <s v=""/>
    <n v="1"/>
    <n v="1"/>
    <n v="9"/>
    <x v="11"/>
    <n v="0"/>
    <x v="0"/>
    <n v="5.32"/>
  </r>
  <r>
    <s v="T1286"/>
    <x v="4"/>
    <d v="2026-09-17T00:00:00"/>
    <d v="1899-12-30T10:45:00"/>
    <n v="120"/>
    <n v="105"/>
    <n v="5"/>
    <s v="Suburban Link"/>
    <n v="24.8"/>
    <n v="28"/>
    <x v="4"/>
    <x v="4"/>
    <n v="0"/>
    <n v="0"/>
    <s v=""/>
    <n v="1"/>
    <n v="1"/>
    <n v="1"/>
    <x v="3"/>
    <n v="1"/>
    <x v="0"/>
    <n v="4.84"/>
  </r>
  <r>
    <s v="T1287"/>
    <x v="1"/>
    <d v="2026-09-29T00:00:00"/>
    <d v="1899-12-30T15:15:00"/>
    <n v="92"/>
    <n v="86"/>
    <n v="4"/>
    <s v="Airport Express"/>
    <n v="32"/>
    <n v="14"/>
    <x v="1"/>
    <x v="0"/>
    <n v="0"/>
    <n v="0"/>
    <s v=""/>
    <n v="1"/>
    <n v="1"/>
    <n v="6"/>
    <x v="17"/>
    <n v="0"/>
    <x v="0"/>
    <n v="2.88"/>
  </r>
  <r>
    <s v="T1288"/>
    <x v="0"/>
    <d v="2026-09-11T00:00:00"/>
    <d v="1899-12-30T06:45:00"/>
    <n v="81"/>
    <n v="82"/>
    <n v="5"/>
    <s v="Tech Park Shuttle"/>
    <n v="15"/>
    <n v="16"/>
    <x v="0"/>
    <x v="3"/>
    <n v="0"/>
    <n v="0"/>
    <s v=""/>
    <n v="1"/>
    <n v="1"/>
    <n v="4"/>
    <x v="12"/>
    <n v="0"/>
    <x v="0"/>
    <n v="5.4"/>
  </r>
  <r>
    <s v="T1289"/>
    <x v="3"/>
    <d v="2026-09-22T00:00:00"/>
    <d v="1899-12-30T09:30:00"/>
    <n v="108"/>
    <n v="104"/>
    <n v="6"/>
    <s v="Corridor North"/>
    <n v="18.5"/>
    <n v="22"/>
    <x v="3"/>
    <x v="0"/>
    <n v="0"/>
    <n v="0"/>
    <s v=""/>
    <n v="1"/>
    <n v="1"/>
    <n v="18"/>
    <x v="4"/>
    <n v="1"/>
    <x v="0"/>
    <n v="5.84"/>
  </r>
  <r>
    <s v="T1290"/>
    <x v="3"/>
    <d v="2026-09-26T00:00:00"/>
    <d v="1899-12-30T06:15:00"/>
    <n v="124"/>
    <n v="109"/>
    <n v="6"/>
    <s v="Corridor North"/>
    <n v="18.5"/>
    <n v="22"/>
    <x v="3"/>
    <x v="1"/>
    <n v="1"/>
    <n v="0"/>
    <s v=""/>
    <n v="1"/>
    <n v="1"/>
    <n v="1"/>
    <x v="12"/>
    <n v="0"/>
    <x v="0"/>
    <n v="6.7"/>
  </r>
  <r>
    <s v="T1291"/>
    <x v="1"/>
    <d v="2026-09-28T00:00:00"/>
    <d v="1899-12-30T06:15:00"/>
    <n v="176"/>
    <n v="174"/>
    <n v="7"/>
    <s v="Airport Express"/>
    <n v="32"/>
    <n v="14"/>
    <x v="1"/>
    <x v="5"/>
    <n v="0"/>
    <n v="0"/>
    <s v=""/>
    <n v="1"/>
    <n v="1"/>
    <n v="0"/>
    <x v="12"/>
    <n v="0"/>
    <x v="0"/>
    <n v="5.5"/>
  </r>
  <r>
    <s v="T1292"/>
    <x v="1"/>
    <d v="2026-09-18T00:00:00"/>
    <d v="1899-12-30T15:15:00"/>
    <n v="44"/>
    <n v="50"/>
    <n v="3"/>
    <s v="Airport Express"/>
    <n v="32"/>
    <n v="14"/>
    <x v="1"/>
    <x v="3"/>
    <n v="0"/>
    <n v="0"/>
    <s v=""/>
    <n v="1"/>
    <n v="1"/>
    <n v="0"/>
    <x v="17"/>
    <n v="0"/>
    <x v="0"/>
    <n v="1.38"/>
  </r>
  <r>
    <s v="T1293"/>
    <x v="4"/>
    <d v="2026-09-21T00:00:00"/>
    <d v="1899-12-30T19:00:00"/>
    <n v="94"/>
    <n v="90"/>
    <n v="4"/>
    <s v="Suburban Link"/>
    <n v="24.8"/>
    <n v="28"/>
    <x v="4"/>
    <x v="5"/>
    <n v="0"/>
    <n v="0"/>
    <s v=""/>
    <n v="1"/>
    <n v="1"/>
    <n v="5"/>
    <x v="8"/>
    <n v="1"/>
    <x v="0"/>
    <n v="3.79"/>
  </r>
  <r>
    <s v="T1294"/>
    <x v="2"/>
    <d v="2026-09-17T00:00:00"/>
    <d v="1899-12-30T13:30:00"/>
    <n v="100"/>
    <n v="95"/>
    <n v="4"/>
    <s v="Downtown Loop"/>
    <n v="12.2"/>
    <n v="18"/>
    <x v="2"/>
    <x v="4"/>
    <n v="0"/>
    <n v="0"/>
    <s v=""/>
    <n v="1"/>
    <n v="1"/>
    <n v="4"/>
    <x v="5"/>
    <n v="0"/>
    <x v="0"/>
    <n v="8.1999999999999993"/>
  </r>
  <r>
    <s v="T1295"/>
    <x v="1"/>
    <d v="2026-09-07T00:00:00"/>
    <d v="1899-12-30T13:45:00"/>
    <n v="142"/>
    <n v="136"/>
    <n v="4"/>
    <s v="Airport Express"/>
    <n v="32"/>
    <n v="14"/>
    <x v="1"/>
    <x v="5"/>
    <n v="0"/>
    <n v="0"/>
    <s v=""/>
    <n v="1"/>
    <n v="1"/>
    <n v="2"/>
    <x v="5"/>
    <n v="0"/>
    <x v="0"/>
    <n v="4.4400000000000004"/>
  </r>
  <r>
    <s v="T1296"/>
    <x v="1"/>
    <d v="2026-09-17T00:00:00"/>
    <d v="1899-12-30T18:30:00"/>
    <n v="134"/>
    <n v="137"/>
    <n v="4"/>
    <s v="Airport Express"/>
    <n v="32"/>
    <n v="14"/>
    <x v="1"/>
    <x v="4"/>
    <n v="0"/>
    <n v="0"/>
    <s v=""/>
    <n v="1"/>
    <n v="1"/>
    <n v="6"/>
    <x v="0"/>
    <n v="1"/>
    <x v="0"/>
    <n v="4.1900000000000004"/>
  </r>
  <r>
    <s v="T1297"/>
    <x v="1"/>
    <d v="2026-09-20T00:00:00"/>
    <d v="1899-12-30T11:45:00"/>
    <n v="105"/>
    <n v="115"/>
    <n v="6"/>
    <s v="Airport Express"/>
    <n v="32"/>
    <n v="14"/>
    <x v="1"/>
    <x v="2"/>
    <n v="1"/>
    <n v="0"/>
    <s v="Marathon"/>
    <n v="1"/>
    <n v="1"/>
    <n v="2"/>
    <x v="9"/>
    <n v="0"/>
    <x v="1"/>
    <n v="3.28"/>
  </r>
  <r>
    <s v="T1298"/>
    <x v="1"/>
    <d v="2026-09-09T00:00:00"/>
    <d v="1899-12-30T20:45:00"/>
    <n v="130"/>
    <n v="129"/>
    <n v="5"/>
    <s v="Airport Express"/>
    <n v="32"/>
    <n v="14"/>
    <x v="1"/>
    <x v="6"/>
    <n v="0"/>
    <n v="0"/>
    <s v=""/>
    <n v="1"/>
    <n v="1"/>
    <n v="0"/>
    <x v="15"/>
    <n v="0"/>
    <x v="0"/>
    <n v="4.0599999999999996"/>
  </r>
  <r>
    <s v="T1299"/>
    <x v="1"/>
    <d v="2026-09-17T00:00:00"/>
    <d v="1899-12-30T05:45:00"/>
    <n v="61"/>
    <n v="62"/>
    <n v="3"/>
    <s v="Airport Express"/>
    <n v="32"/>
    <n v="14"/>
    <x v="1"/>
    <x v="4"/>
    <n v="0"/>
    <n v="0"/>
    <s v=""/>
    <n v="1"/>
    <n v="1"/>
    <n v="0"/>
    <x v="16"/>
    <n v="0"/>
    <x v="0"/>
    <n v="1.91"/>
  </r>
  <r>
    <s v="T1300"/>
    <x v="1"/>
    <d v="2026-09-20T00:00:00"/>
    <d v="1899-12-30T08:30:00"/>
    <n v="243"/>
    <n v="237"/>
    <n v="7"/>
    <s v="Airport Express"/>
    <n v="32"/>
    <n v="14"/>
    <x v="1"/>
    <x v="2"/>
    <n v="1"/>
    <n v="0"/>
    <s v="Marathon"/>
    <n v="1"/>
    <n v="1"/>
    <n v="4"/>
    <x v="13"/>
    <n v="1"/>
    <x v="1"/>
    <n v="7.59"/>
  </r>
  <r>
    <s v="T1301"/>
    <x v="3"/>
    <d v="2026-09-22T00:00:00"/>
    <d v="1899-12-30T12:00:00"/>
    <n v="93"/>
    <n v="95"/>
    <n v="5"/>
    <s v="Corridor North"/>
    <n v="18.5"/>
    <n v="22"/>
    <x v="3"/>
    <x v="0"/>
    <n v="0"/>
    <n v="0"/>
    <s v=""/>
    <n v="1"/>
    <n v="1"/>
    <n v="7"/>
    <x v="14"/>
    <n v="0"/>
    <x v="0"/>
    <n v="5.03"/>
  </r>
  <r>
    <s v="T1302"/>
    <x v="1"/>
    <d v="2026-09-22T00:00:00"/>
    <d v="1899-12-30T09:30:00"/>
    <n v="174"/>
    <n v="168"/>
    <n v="6"/>
    <s v="Airport Express"/>
    <n v="32"/>
    <n v="14"/>
    <x v="1"/>
    <x v="0"/>
    <n v="0"/>
    <n v="0"/>
    <s v=""/>
    <n v="1"/>
    <n v="1"/>
    <n v="17"/>
    <x v="4"/>
    <n v="1"/>
    <x v="0"/>
    <n v="5.44"/>
  </r>
  <r>
    <s v="T1303"/>
    <x v="0"/>
    <d v="2026-09-28T00:00:00"/>
    <d v="1899-12-30T08:45:00"/>
    <n v="117"/>
    <n v="113"/>
    <n v="6"/>
    <s v="Tech Park Shuttle"/>
    <n v="15"/>
    <n v="16"/>
    <x v="0"/>
    <x v="5"/>
    <n v="0"/>
    <n v="0"/>
    <s v=""/>
    <n v="1"/>
    <n v="1"/>
    <n v="0"/>
    <x v="13"/>
    <n v="1"/>
    <x v="0"/>
    <n v="7.8"/>
  </r>
  <r>
    <s v="T1304"/>
    <x v="1"/>
    <d v="2026-09-29T00:00:00"/>
    <d v="1899-12-30T10:30:00"/>
    <n v="60"/>
    <n v="52"/>
    <n v="3"/>
    <s v="Airport Express"/>
    <n v="32"/>
    <n v="14"/>
    <x v="1"/>
    <x v="0"/>
    <n v="0"/>
    <n v="0"/>
    <s v=""/>
    <n v="1"/>
    <n v="1"/>
    <n v="0"/>
    <x v="3"/>
    <n v="1"/>
    <x v="0"/>
    <n v="1.88"/>
  </r>
  <r>
    <s v="T1305"/>
    <x v="1"/>
    <d v="2026-09-08T00:00:00"/>
    <d v="1899-12-30T22:30:00"/>
    <n v="114"/>
    <n v="113"/>
    <n v="4"/>
    <s v="Airport Express"/>
    <n v="32"/>
    <n v="14"/>
    <x v="1"/>
    <x v="0"/>
    <n v="0"/>
    <n v="0"/>
    <s v=""/>
    <n v="1"/>
    <n v="1"/>
    <n v="6"/>
    <x v="11"/>
    <n v="0"/>
    <x v="0"/>
    <n v="3.56"/>
  </r>
  <r>
    <s v="T1306"/>
    <x v="0"/>
    <d v="2026-09-17T00:00:00"/>
    <d v="1899-12-30T09:45:00"/>
    <n v="137"/>
    <n v="142"/>
    <n v="6"/>
    <s v="Tech Park Shuttle"/>
    <n v="15"/>
    <n v="16"/>
    <x v="0"/>
    <x v="4"/>
    <n v="0"/>
    <n v="0"/>
    <s v=""/>
    <n v="1"/>
    <n v="1"/>
    <n v="13"/>
    <x v="4"/>
    <n v="1"/>
    <x v="0"/>
    <n v="9.1300000000000008"/>
  </r>
  <r>
    <s v="T1307"/>
    <x v="1"/>
    <d v="2026-09-07T00:00:00"/>
    <d v="1899-12-30T07:30:00"/>
    <n v="140"/>
    <n v="146"/>
    <n v="5"/>
    <s v="Airport Express"/>
    <n v="32"/>
    <n v="14"/>
    <x v="1"/>
    <x v="5"/>
    <n v="0"/>
    <n v="0"/>
    <s v=""/>
    <n v="1"/>
    <n v="1"/>
    <n v="4"/>
    <x v="6"/>
    <n v="0"/>
    <x v="0"/>
    <n v="4.38"/>
  </r>
  <r>
    <s v="T1308"/>
    <x v="3"/>
    <d v="2026-09-01T00:00:00"/>
    <d v="1899-12-30T18:30:00"/>
    <n v="125"/>
    <n v="118"/>
    <n v="6"/>
    <s v="Corridor North"/>
    <n v="18.5"/>
    <n v="22"/>
    <x v="3"/>
    <x v="0"/>
    <n v="0"/>
    <n v="0"/>
    <s v=""/>
    <n v="1"/>
    <n v="1"/>
    <n v="0"/>
    <x v="0"/>
    <n v="1"/>
    <x v="0"/>
    <n v="6.76"/>
  </r>
  <r>
    <s v="T1309"/>
    <x v="3"/>
    <d v="2026-09-13T00:00:00"/>
    <d v="1899-12-30T09:00:00"/>
    <n v="146"/>
    <n v="150"/>
    <n v="5"/>
    <s v="Corridor North"/>
    <n v="18.5"/>
    <n v="22"/>
    <x v="3"/>
    <x v="2"/>
    <n v="1"/>
    <n v="0"/>
    <s v=""/>
    <n v="1"/>
    <n v="1"/>
    <n v="4"/>
    <x v="4"/>
    <n v="1"/>
    <x v="0"/>
    <n v="7.89"/>
  </r>
  <r>
    <s v="T1310"/>
    <x v="0"/>
    <d v="2026-09-30T00:00:00"/>
    <d v="1899-12-30T09:15:00"/>
    <n v="142"/>
    <n v="146"/>
    <n v="5"/>
    <s v="Tech Park Shuttle"/>
    <n v="15"/>
    <n v="16"/>
    <x v="0"/>
    <x v="6"/>
    <n v="0"/>
    <n v="0"/>
    <s v=""/>
    <n v="1"/>
    <n v="1"/>
    <n v="0"/>
    <x v="4"/>
    <n v="1"/>
    <x v="0"/>
    <n v="9.4700000000000006"/>
  </r>
  <r>
    <s v="T1311"/>
    <x v="3"/>
    <d v="2026-09-23T00:00:00"/>
    <d v="1899-12-30T06:15:00"/>
    <n v="125"/>
    <n v="116"/>
    <n v="6"/>
    <s v="Corridor North"/>
    <n v="18.5"/>
    <n v="22"/>
    <x v="3"/>
    <x v="6"/>
    <n v="0"/>
    <n v="0"/>
    <s v=""/>
    <n v="1"/>
    <n v="1"/>
    <n v="20"/>
    <x v="12"/>
    <n v="0"/>
    <x v="0"/>
    <n v="6.76"/>
  </r>
  <r>
    <s v="T1312"/>
    <x v="3"/>
    <d v="2026-09-19T00:00:00"/>
    <d v="1899-12-30T10:30:00"/>
    <n v="94"/>
    <n v="101"/>
    <n v="3"/>
    <s v="Corridor North"/>
    <n v="18.5"/>
    <n v="22"/>
    <x v="3"/>
    <x v="1"/>
    <n v="1"/>
    <n v="1"/>
    <s v=""/>
    <n v="1"/>
    <n v="1"/>
    <n v="1"/>
    <x v="3"/>
    <n v="1"/>
    <x v="0"/>
    <n v="5.08"/>
  </r>
  <r>
    <s v="T1313"/>
    <x v="1"/>
    <d v="2026-09-27T00:00:00"/>
    <d v="1899-12-30T14:30:00"/>
    <n v="129"/>
    <n v="130"/>
    <n v="5"/>
    <s v="Airport Express"/>
    <n v="32"/>
    <n v="14"/>
    <x v="1"/>
    <x v="2"/>
    <n v="1"/>
    <n v="0"/>
    <s v="Music Fest"/>
    <n v="1"/>
    <n v="1"/>
    <n v="11"/>
    <x v="7"/>
    <n v="0"/>
    <x v="1"/>
    <n v="4.03"/>
  </r>
  <r>
    <s v="T1314"/>
    <x v="1"/>
    <d v="2026-09-24T00:00:00"/>
    <d v="1899-12-30T11:00:00"/>
    <n v="32"/>
    <n v="32"/>
    <n v="3"/>
    <s v="Airport Express"/>
    <n v="32"/>
    <n v="14"/>
    <x v="1"/>
    <x v="4"/>
    <n v="0"/>
    <n v="0"/>
    <s v=""/>
    <n v="1"/>
    <n v="1"/>
    <n v="5"/>
    <x v="9"/>
    <n v="0"/>
    <x v="0"/>
    <n v="1"/>
  </r>
  <r>
    <s v="T1315"/>
    <x v="3"/>
    <d v="2026-09-19T00:00:00"/>
    <d v="1899-12-30T05:00:00"/>
    <n v="129"/>
    <n v="127"/>
    <n v="4"/>
    <s v="Corridor North"/>
    <n v="18.5"/>
    <n v="22"/>
    <x v="3"/>
    <x v="1"/>
    <n v="1"/>
    <n v="1"/>
    <s v=""/>
    <n v="1"/>
    <n v="1"/>
    <n v="1"/>
    <x v="16"/>
    <n v="0"/>
    <x v="0"/>
    <n v="6.97"/>
  </r>
  <r>
    <s v="T1316"/>
    <x v="3"/>
    <d v="2026-09-30T00:00:00"/>
    <d v="1899-12-30T22:00:00"/>
    <n v="79"/>
    <n v="77"/>
    <n v="2"/>
    <s v="Corridor North"/>
    <n v="18.5"/>
    <n v="22"/>
    <x v="3"/>
    <x v="6"/>
    <n v="0"/>
    <n v="0"/>
    <s v=""/>
    <n v="1"/>
    <n v="1"/>
    <n v="17"/>
    <x v="11"/>
    <n v="0"/>
    <x v="0"/>
    <n v="4.2699999999999996"/>
  </r>
  <r>
    <s v="T1317"/>
    <x v="3"/>
    <d v="2026-09-30T00:00:00"/>
    <d v="1899-12-30T22:00:00"/>
    <n v="72"/>
    <n v="62"/>
    <n v="3"/>
    <s v="Corridor North"/>
    <n v="18.5"/>
    <n v="22"/>
    <x v="3"/>
    <x v="6"/>
    <n v="0"/>
    <n v="0"/>
    <s v=""/>
    <n v="1"/>
    <n v="1"/>
    <n v="1"/>
    <x v="11"/>
    <n v="0"/>
    <x v="0"/>
    <n v="3.89"/>
  </r>
  <r>
    <s v="T1318"/>
    <x v="0"/>
    <d v="2026-09-29T00:00:00"/>
    <d v="1899-12-30T17:45:00"/>
    <n v="102"/>
    <n v="99"/>
    <n v="4"/>
    <s v="Tech Park Shuttle"/>
    <n v="15"/>
    <n v="16"/>
    <x v="0"/>
    <x v="0"/>
    <n v="0"/>
    <n v="0"/>
    <s v=""/>
    <n v="1"/>
    <n v="1"/>
    <n v="4"/>
    <x v="1"/>
    <n v="1"/>
    <x v="0"/>
    <n v="6.8"/>
  </r>
  <r>
    <s v="T1319"/>
    <x v="0"/>
    <d v="2026-09-17T00:00:00"/>
    <d v="1899-12-30T08:00:00"/>
    <n v="115"/>
    <n v="106"/>
    <n v="3"/>
    <s v="Tech Park Shuttle"/>
    <n v="15"/>
    <n v="16"/>
    <x v="0"/>
    <x v="4"/>
    <n v="0"/>
    <n v="0"/>
    <s v=""/>
    <n v="1"/>
    <n v="1"/>
    <n v="11"/>
    <x v="13"/>
    <n v="1"/>
    <x v="0"/>
    <n v="7.67"/>
  </r>
  <r>
    <s v="T1320"/>
    <x v="4"/>
    <d v="2026-09-13T00:00:00"/>
    <d v="1899-12-30T07:00:00"/>
    <n v="165"/>
    <n v="163"/>
    <n v="7"/>
    <s v="Suburban Link"/>
    <n v="24.8"/>
    <n v="28"/>
    <x v="4"/>
    <x v="2"/>
    <n v="1"/>
    <n v="0"/>
    <s v=""/>
    <n v="1"/>
    <n v="1"/>
    <n v="4"/>
    <x v="6"/>
    <n v="0"/>
    <x v="0"/>
    <n v="6.65"/>
  </r>
  <r>
    <s v="T1321"/>
    <x v="3"/>
    <d v="2026-09-29T00:00:00"/>
    <d v="1899-12-30T15:30:00"/>
    <n v="58"/>
    <n v="62"/>
    <n v="3"/>
    <s v="Corridor North"/>
    <n v="18.5"/>
    <n v="22"/>
    <x v="3"/>
    <x v="0"/>
    <n v="0"/>
    <n v="0"/>
    <s v=""/>
    <n v="1"/>
    <n v="1"/>
    <n v="10"/>
    <x v="17"/>
    <n v="0"/>
    <x v="0"/>
    <n v="3.14"/>
  </r>
  <r>
    <s v="T1322"/>
    <x v="1"/>
    <d v="2026-09-30T00:00:00"/>
    <d v="1899-12-30T08:15:00"/>
    <n v="150"/>
    <n v="157"/>
    <n v="6"/>
    <s v="Airport Express"/>
    <n v="32"/>
    <n v="14"/>
    <x v="1"/>
    <x v="6"/>
    <n v="0"/>
    <n v="0"/>
    <s v=""/>
    <n v="1"/>
    <n v="1"/>
    <n v="11"/>
    <x v="13"/>
    <n v="1"/>
    <x v="0"/>
    <n v="4.6900000000000004"/>
  </r>
  <r>
    <s v="T1323"/>
    <x v="0"/>
    <d v="2026-09-16T00:00:00"/>
    <d v="1899-12-30T20:45:00"/>
    <n v="29"/>
    <n v="24"/>
    <n v="2"/>
    <s v="Tech Park Shuttle"/>
    <n v="15"/>
    <n v="16"/>
    <x v="0"/>
    <x v="6"/>
    <n v="0"/>
    <n v="0"/>
    <s v=""/>
    <n v="1"/>
    <n v="1"/>
    <n v="7"/>
    <x v="15"/>
    <n v="0"/>
    <x v="0"/>
    <n v="1.93"/>
  </r>
  <r>
    <s v="T1324"/>
    <x v="1"/>
    <d v="2026-09-08T00:00:00"/>
    <d v="1899-12-30T22:45:00"/>
    <n v="109"/>
    <n v="99"/>
    <n v="4"/>
    <s v="Airport Express"/>
    <n v="32"/>
    <n v="14"/>
    <x v="1"/>
    <x v="0"/>
    <n v="0"/>
    <n v="0"/>
    <s v=""/>
    <n v="1"/>
    <n v="1"/>
    <n v="9"/>
    <x v="11"/>
    <n v="0"/>
    <x v="0"/>
    <n v="3.41"/>
  </r>
  <r>
    <s v="T1325"/>
    <x v="3"/>
    <d v="2026-09-19T00:00:00"/>
    <d v="1899-12-30T07:00:00"/>
    <n v="158"/>
    <n v="159"/>
    <n v="3"/>
    <s v="Corridor North"/>
    <n v="18.5"/>
    <n v="22"/>
    <x v="3"/>
    <x v="1"/>
    <n v="1"/>
    <n v="1"/>
    <s v=""/>
    <n v="1"/>
    <n v="1"/>
    <n v="8"/>
    <x v="6"/>
    <n v="0"/>
    <x v="0"/>
    <n v="8.5399999999999991"/>
  </r>
  <r>
    <s v="T1326"/>
    <x v="3"/>
    <d v="2026-09-18T00:00:00"/>
    <d v="1899-12-30T10:15:00"/>
    <n v="72"/>
    <n v="76"/>
    <n v="4"/>
    <s v="Corridor North"/>
    <n v="18.5"/>
    <n v="22"/>
    <x v="3"/>
    <x v="3"/>
    <n v="0"/>
    <n v="0"/>
    <s v=""/>
    <n v="1"/>
    <n v="1"/>
    <n v="25"/>
    <x v="3"/>
    <n v="1"/>
    <x v="0"/>
    <n v="3.89"/>
  </r>
  <r>
    <s v="T1327"/>
    <x v="1"/>
    <d v="2026-09-01T00:00:00"/>
    <d v="1899-12-30T14:00:00"/>
    <n v="118"/>
    <n v="104"/>
    <n v="5"/>
    <s v="Airport Express"/>
    <n v="32"/>
    <n v="14"/>
    <x v="1"/>
    <x v="0"/>
    <n v="0"/>
    <n v="0"/>
    <s v=""/>
    <n v="1"/>
    <n v="1"/>
    <n v="6"/>
    <x v="7"/>
    <n v="0"/>
    <x v="0"/>
    <n v="3.69"/>
  </r>
  <r>
    <s v="T1328"/>
    <x v="1"/>
    <d v="2026-09-14T00:00:00"/>
    <d v="1899-12-30T21:00:00"/>
    <n v="88"/>
    <n v="83"/>
    <n v="4"/>
    <s v="Airport Express"/>
    <n v="32"/>
    <n v="14"/>
    <x v="1"/>
    <x v="5"/>
    <n v="0"/>
    <n v="0"/>
    <s v=""/>
    <n v="1"/>
    <n v="1"/>
    <n v="7"/>
    <x v="10"/>
    <n v="0"/>
    <x v="0"/>
    <n v="2.75"/>
  </r>
  <r>
    <s v="T1329"/>
    <x v="3"/>
    <d v="2026-09-19T00:00:00"/>
    <d v="1899-12-30T21:45:00"/>
    <n v="132"/>
    <n v="139"/>
    <n v="7"/>
    <s v="Corridor North"/>
    <n v="18.5"/>
    <n v="22"/>
    <x v="3"/>
    <x v="1"/>
    <n v="1"/>
    <n v="1"/>
    <s v=""/>
    <n v="1"/>
    <n v="1"/>
    <n v="0"/>
    <x v="10"/>
    <n v="0"/>
    <x v="0"/>
    <n v="7.14"/>
  </r>
  <r>
    <s v="T1330"/>
    <x v="3"/>
    <d v="2026-09-15T00:00:00"/>
    <d v="1899-12-30T13:00:00"/>
    <n v="82"/>
    <n v="65"/>
    <n v="5"/>
    <s v="Corridor North"/>
    <n v="18.5"/>
    <n v="22"/>
    <x v="3"/>
    <x v="0"/>
    <n v="0"/>
    <n v="0"/>
    <s v=""/>
    <n v="1"/>
    <n v="1"/>
    <n v="10"/>
    <x v="5"/>
    <n v="0"/>
    <x v="0"/>
    <n v="4.43"/>
  </r>
  <r>
    <s v="T1331"/>
    <x v="3"/>
    <d v="2026-09-18T00:00:00"/>
    <d v="1899-12-30T05:15:00"/>
    <n v="92"/>
    <n v="91"/>
    <n v="3"/>
    <s v="Corridor North"/>
    <n v="18.5"/>
    <n v="22"/>
    <x v="3"/>
    <x v="3"/>
    <n v="0"/>
    <n v="0"/>
    <s v=""/>
    <n v="1"/>
    <n v="1"/>
    <n v="1"/>
    <x v="16"/>
    <n v="0"/>
    <x v="0"/>
    <n v="4.97"/>
  </r>
  <r>
    <s v="T1332"/>
    <x v="4"/>
    <d v="2026-09-02T00:00:00"/>
    <d v="1899-12-30T20:00:00"/>
    <n v="152"/>
    <n v="158"/>
    <n v="5"/>
    <s v="Suburban Link"/>
    <n v="24.8"/>
    <n v="28"/>
    <x v="4"/>
    <x v="6"/>
    <n v="0"/>
    <n v="0"/>
    <s v=""/>
    <n v="1"/>
    <n v="1"/>
    <n v="10"/>
    <x v="15"/>
    <n v="0"/>
    <x v="0"/>
    <n v="6.13"/>
  </r>
  <r>
    <s v="T1333"/>
    <x v="1"/>
    <d v="2026-09-22T00:00:00"/>
    <d v="1899-12-30T05:15:00"/>
    <n v="104"/>
    <n v="110"/>
    <n v="5"/>
    <s v="Airport Express"/>
    <n v="32"/>
    <n v="14"/>
    <x v="1"/>
    <x v="0"/>
    <n v="0"/>
    <n v="0"/>
    <s v=""/>
    <n v="1"/>
    <n v="1"/>
    <n v="16"/>
    <x v="16"/>
    <n v="0"/>
    <x v="0"/>
    <n v="3.25"/>
  </r>
  <r>
    <s v="T1334"/>
    <x v="2"/>
    <d v="2026-09-28T00:00:00"/>
    <d v="1899-12-30T22:15:00"/>
    <n v="136"/>
    <n v="134"/>
    <n v="4"/>
    <s v="Downtown Loop"/>
    <n v="12.2"/>
    <n v="18"/>
    <x v="2"/>
    <x v="5"/>
    <n v="0"/>
    <n v="0"/>
    <s v=""/>
    <n v="1"/>
    <n v="1"/>
    <n v="1"/>
    <x v="11"/>
    <n v="0"/>
    <x v="0"/>
    <n v="11.15"/>
  </r>
  <r>
    <s v="T1335"/>
    <x v="2"/>
    <d v="2026-09-17T00:00:00"/>
    <d v="1899-12-30T12:00:00"/>
    <n v="130"/>
    <n v="136"/>
    <n v="6"/>
    <s v="Downtown Loop"/>
    <n v="12.2"/>
    <n v="18"/>
    <x v="2"/>
    <x v="4"/>
    <n v="0"/>
    <n v="0"/>
    <s v=""/>
    <n v="1"/>
    <n v="1"/>
    <n v="7"/>
    <x v="14"/>
    <n v="0"/>
    <x v="0"/>
    <n v="10.66"/>
  </r>
  <r>
    <s v="T1336"/>
    <x v="1"/>
    <d v="2026-09-18T00:00:00"/>
    <d v="1899-12-30T15:30:00"/>
    <n v="97"/>
    <n v="93"/>
    <n v="5"/>
    <s v="Airport Express"/>
    <n v="32"/>
    <n v="14"/>
    <x v="1"/>
    <x v="3"/>
    <n v="0"/>
    <n v="0"/>
    <s v=""/>
    <n v="1"/>
    <n v="1"/>
    <n v="7"/>
    <x v="17"/>
    <n v="0"/>
    <x v="0"/>
    <n v="3.03"/>
  </r>
  <r>
    <s v="T1337"/>
    <x v="0"/>
    <d v="2026-09-30T00:00:00"/>
    <d v="1899-12-30T06:45:00"/>
    <n v="112"/>
    <n v="112"/>
    <n v="5"/>
    <s v="Tech Park Shuttle"/>
    <n v="15"/>
    <n v="16"/>
    <x v="0"/>
    <x v="6"/>
    <n v="0"/>
    <n v="0"/>
    <s v=""/>
    <n v="1"/>
    <n v="1"/>
    <n v="1"/>
    <x v="12"/>
    <n v="0"/>
    <x v="0"/>
    <n v="7.47"/>
  </r>
  <r>
    <s v="T1338"/>
    <x v="3"/>
    <d v="2026-09-06T00:00:00"/>
    <d v="1899-12-30T12:00:00"/>
    <n v="121"/>
    <n v="120"/>
    <n v="5"/>
    <s v="Corridor North"/>
    <n v="18.5"/>
    <n v="22"/>
    <x v="3"/>
    <x v="2"/>
    <n v="1"/>
    <n v="0"/>
    <s v=""/>
    <n v="1"/>
    <n v="1"/>
    <n v="5"/>
    <x v="14"/>
    <n v="0"/>
    <x v="0"/>
    <n v="6.54"/>
  </r>
  <r>
    <s v="T1339"/>
    <x v="3"/>
    <d v="2026-09-19T00:00:00"/>
    <d v="1899-12-30T19:00:00"/>
    <n v="68"/>
    <n v="71"/>
    <n v="4"/>
    <s v="Corridor North"/>
    <n v="18.5"/>
    <n v="22"/>
    <x v="3"/>
    <x v="1"/>
    <n v="1"/>
    <n v="1"/>
    <s v=""/>
    <n v="1"/>
    <n v="1"/>
    <n v="4"/>
    <x v="8"/>
    <n v="1"/>
    <x v="0"/>
    <n v="3.68"/>
  </r>
  <r>
    <s v="T1340"/>
    <x v="1"/>
    <d v="2026-09-04T00:00:00"/>
    <d v="1899-12-30T17:30:00"/>
    <n v="174"/>
    <n v="178"/>
    <n v="7"/>
    <s v="Airport Express"/>
    <n v="32"/>
    <n v="14"/>
    <x v="1"/>
    <x v="3"/>
    <n v="0"/>
    <n v="0"/>
    <s v=""/>
    <n v="1"/>
    <n v="1"/>
    <n v="3"/>
    <x v="1"/>
    <n v="1"/>
    <x v="0"/>
    <n v="5.44"/>
  </r>
  <r>
    <s v="T1341"/>
    <x v="1"/>
    <d v="2026-09-01T00:00:00"/>
    <d v="1899-12-30T09:45:00"/>
    <n v="152"/>
    <n v="144"/>
    <n v="6"/>
    <s v="Airport Express"/>
    <n v="32"/>
    <n v="14"/>
    <x v="1"/>
    <x v="0"/>
    <n v="0"/>
    <n v="0"/>
    <s v=""/>
    <n v="1"/>
    <n v="1"/>
    <n v="0"/>
    <x v="4"/>
    <n v="1"/>
    <x v="0"/>
    <n v="4.75"/>
  </r>
  <r>
    <s v="T1342"/>
    <x v="1"/>
    <d v="2026-09-08T00:00:00"/>
    <d v="1899-12-30T16:00:00"/>
    <n v="156"/>
    <n v="149"/>
    <n v="4"/>
    <s v="Airport Express"/>
    <n v="32"/>
    <n v="14"/>
    <x v="1"/>
    <x v="0"/>
    <n v="0"/>
    <n v="0"/>
    <s v=""/>
    <n v="1"/>
    <n v="1"/>
    <n v="1"/>
    <x v="2"/>
    <n v="0"/>
    <x v="0"/>
    <n v="4.88"/>
  </r>
  <r>
    <s v="T1343"/>
    <x v="1"/>
    <d v="2026-09-29T00:00:00"/>
    <d v="1899-12-30T09:45:00"/>
    <n v="108"/>
    <n v="107"/>
    <n v="4"/>
    <s v="Airport Express"/>
    <n v="32"/>
    <n v="14"/>
    <x v="1"/>
    <x v="0"/>
    <n v="0"/>
    <n v="0"/>
    <s v=""/>
    <n v="1"/>
    <n v="1"/>
    <n v="0"/>
    <x v="4"/>
    <n v="1"/>
    <x v="0"/>
    <n v="3.38"/>
  </r>
  <r>
    <s v="T1344"/>
    <x v="4"/>
    <d v="2026-09-23T00:00:00"/>
    <d v="1899-12-30T17:45:00"/>
    <n v="149"/>
    <n v="144"/>
    <n v="6"/>
    <s v="Suburban Link"/>
    <n v="24.8"/>
    <n v="28"/>
    <x v="4"/>
    <x v="6"/>
    <n v="0"/>
    <n v="0"/>
    <s v=""/>
    <n v="1"/>
    <n v="1"/>
    <n v="2"/>
    <x v="1"/>
    <n v="1"/>
    <x v="0"/>
    <n v="6.01"/>
  </r>
  <r>
    <s v="T1345"/>
    <x v="3"/>
    <d v="2026-09-07T00:00:00"/>
    <d v="1899-12-30T15:00:00"/>
    <n v="83"/>
    <n v="89"/>
    <n v="4"/>
    <s v="Corridor North"/>
    <n v="18.5"/>
    <n v="22"/>
    <x v="3"/>
    <x v="5"/>
    <n v="0"/>
    <n v="0"/>
    <s v=""/>
    <n v="1"/>
    <n v="1"/>
    <n v="0"/>
    <x v="17"/>
    <n v="0"/>
    <x v="0"/>
    <n v="4.49"/>
  </r>
  <r>
    <s v="T1346"/>
    <x v="1"/>
    <d v="2026-09-03T00:00:00"/>
    <d v="1899-12-30T17:30:00"/>
    <n v="143"/>
    <n v="152"/>
    <n v="5"/>
    <s v="Airport Express"/>
    <n v="32"/>
    <n v="14"/>
    <x v="1"/>
    <x v="4"/>
    <n v="0"/>
    <n v="0"/>
    <s v=""/>
    <n v="1"/>
    <n v="1"/>
    <n v="0"/>
    <x v="1"/>
    <n v="1"/>
    <x v="0"/>
    <n v="4.47"/>
  </r>
  <r>
    <s v="T1347"/>
    <x v="1"/>
    <d v="2026-09-10T00:00:00"/>
    <d v="1899-12-30T07:45:00"/>
    <n v="117"/>
    <n v="119"/>
    <n v="6"/>
    <s v="Airport Express"/>
    <n v="32"/>
    <n v="14"/>
    <x v="1"/>
    <x v="4"/>
    <n v="0"/>
    <n v="0"/>
    <s v=""/>
    <n v="1"/>
    <n v="1"/>
    <n v="4"/>
    <x v="6"/>
    <n v="0"/>
    <x v="0"/>
    <n v="3.66"/>
  </r>
  <r>
    <s v="T1348"/>
    <x v="3"/>
    <d v="2026-09-10T00:00:00"/>
    <d v="1899-12-30T21:00:00"/>
    <n v="197"/>
    <n v="189"/>
    <n v="5"/>
    <s v="Corridor North"/>
    <n v="18.5"/>
    <n v="22"/>
    <x v="3"/>
    <x v="4"/>
    <n v="0"/>
    <n v="0"/>
    <s v=""/>
    <n v="1"/>
    <n v="1"/>
    <n v="1"/>
    <x v="10"/>
    <n v="0"/>
    <x v="0"/>
    <n v="10.65"/>
  </r>
  <r>
    <s v="T1349"/>
    <x v="1"/>
    <d v="2026-09-19T00:00:00"/>
    <d v="1899-12-30T12:15:00"/>
    <n v="153"/>
    <n v="143"/>
    <n v="7"/>
    <s v="Airport Express"/>
    <n v="32"/>
    <n v="14"/>
    <x v="1"/>
    <x v="1"/>
    <n v="1"/>
    <n v="1"/>
    <s v=""/>
    <n v="1"/>
    <n v="1"/>
    <n v="0"/>
    <x v="14"/>
    <n v="0"/>
    <x v="0"/>
    <n v="4.78"/>
  </r>
  <r>
    <s v="T1350"/>
    <x v="4"/>
    <d v="2026-09-14T00:00:00"/>
    <d v="1899-12-30T18:45:00"/>
    <n v="20"/>
    <n v="15"/>
    <n v="3"/>
    <s v="Suburban Link"/>
    <n v="24.8"/>
    <n v="28"/>
    <x v="4"/>
    <x v="5"/>
    <n v="0"/>
    <n v="0"/>
    <s v=""/>
    <n v="1"/>
    <n v="1"/>
    <n v="5"/>
    <x v="0"/>
    <n v="1"/>
    <x v="0"/>
    <n v="0.81"/>
  </r>
  <r>
    <s v="T1351"/>
    <x v="1"/>
    <d v="2026-09-02T00:00:00"/>
    <d v="1899-12-30T15:45:00"/>
    <n v="61"/>
    <n v="51"/>
    <n v="6"/>
    <s v="Airport Express"/>
    <n v="32"/>
    <n v="14"/>
    <x v="1"/>
    <x v="6"/>
    <n v="0"/>
    <n v="0"/>
    <s v=""/>
    <n v="1"/>
    <n v="1"/>
    <n v="0"/>
    <x v="17"/>
    <n v="0"/>
    <x v="0"/>
    <n v="1.91"/>
  </r>
  <r>
    <s v="T1352"/>
    <x v="4"/>
    <d v="2026-09-28T00:00:00"/>
    <d v="1899-12-30T19:30:00"/>
    <n v="56"/>
    <n v="46"/>
    <n v="4"/>
    <s v="Suburban Link"/>
    <n v="24.8"/>
    <n v="28"/>
    <x v="4"/>
    <x v="5"/>
    <n v="0"/>
    <n v="0"/>
    <s v=""/>
    <n v="1"/>
    <n v="1"/>
    <n v="0"/>
    <x v="8"/>
    <n v="1"/>
    <x v="0"/>
    <n v="2.2599999999999998"/>
  </r>
  <r>
    <s v="T1353"/>
    <x v="1"/>
    <d v="2026-09-01T00:00:00"/>
    <d v="1899-12-30T11:30:00"/>
    <n v="84"/>
    <n v="80"/>
    <n v="4"/>
    <s v="Airport Express"/>
    <n v="32"/>
    <n v="14"/>
    <x v="1"/>
    <x v="0"/>
    <n v="0"/>
    <n v="0"/>
    <s v=""/>
    <n v="1"/>
    <n v="1"/>
    <n v="14"/>
    <x v="9"/>
    <n v="0"/>
    <x v="0"/>
    <n v="2.62"/>
  </r>
  <r>
    <s v="T1354"/>
    <x v="4"/>
    <d v="2026-09-23T00:00:00"/>
    <d v="1899-12-30T15:15:00"/>
    <n v="63"/>
    <n v="66"/>
    <n v="3"/>
    <s v="Suburban Link"/>
    <n v="24.8"/>
    <n v="28"/>
    <x v="4"/>
    <x v="6"/>
    <n v="0"/>
    <n v="0"/>
    <s v=""/>
    <n v="1"/>
    <n v="1"/>
    <n v="11"/>
    <x v="17"/>
    <n v="0"/>
    <x v="0"/>
    <n v="2.54"/>
  </r>
  <r>
    <s v="T1355"/>
    <x v="3"/>
    <d v="2026-09-23T00:00:00"/>
    <d v="1899-12-30T09:00:00"/>
    <n v="97"/>
    <n v="106"/>
    <n v="5"/>
    <s v="Corridor North"/>
    <n v="18.5"/>
    <n v="22"/>
    <x v="3"/>
    <x v="6"/>
    <n v="0"/>
    <n v="0"/>
    <s v=""/>
    <n v="1"/>
    <n v="1"/>
    <n v="11"/>
    <x v="4"/>
    <n v="1"/>
    <x v="0"/>
    <n v="5.24"/>
  </r>
  <r>
    <s v="T1356"/>
    <x v="1"/>
    <d v="2026-09-28T00:00:00"/>
    <d v="1899-12-30T12:45:00"/>
    <n v="43"/>
    <n v="49"/>
    <n v="3"/>
    <s v="Airport Express"/>
    <n v="32"/>
    <n v="14"/>
    <x v="1"/>
    <x v="5"/>
    <n v="0"/>
    <n v="0"/>
    <s v=""/>
    <n v="1"/>
    <n v="1"/>
    <n v="12"/>
    <x v="14"/>
    <n v="0"/>
    <x v="0"/>
    <n v="1.34"/>
  </r>
  <r>
    <s v="T1357"/>
    <x v="3"/>
    <d v="2026-09-18T00:00:00"/>
    <d v="1899-12-30T14:15:00"/>
    <n v="183"/>
    <n v="183"/>
    <n v="7"/>
    <s v="Corridor North"/>
    <n v="18.5"/>
    <n v="22"/>
    <x v="3"/>
    <x v="3"/>
    <n v="0"/>
    <n v="0"/>
    <s v=""/>
    <n v="1"/>
    <n v="1"/>
    <n v="8"/>
    <x v="7"/>
    <n v="0"/>
    <x v="0"/>
    <n v="9.89"/>
  </r>
  <r>
    <s v="T1358"/>
    <x v="2"/>
    <d v="2026-09-07T00:00:00"/>
    <d v="1899-12-30T19:45:00"/>
    <n v="167"/>
    <n v="157"/>
    <n v="5"/>
    <s v="Downtown Loop"/>
    <n v="12.2"/>
    <n v="18"/>
    <x v="2"/>
    <x v="5"/>
    <n v="0"/>
    <n v="0"/>
    <s v=""/>
    <n v="1"/>
    <n v="1"/>
    <n v="4"/>
    <x v="8"/>
    <n v="1"/>
    <x v="0"/>
    <n v="13.69"/>
  </r>
  <r>
    <s v="T1359"/>
    <x v="3"/>
    <d v="2026-09-29T00:00:00"/>
    <d v="1899-12-30T20:45:00"/>
    <n v="98"/>
    <n v="111"/>
    <n v="3"/>
    <s v="Corridor North"/>
    <n v="18.5"/>
    <n v="22"/>
    <x v="3"/>
    <x v="0"/>
    <n v="0"/>
    <n v="0"/>
    <s v=""/>
    <n v="1"/>
    <n v="1"/>
    <n v="6"/>
    <x v="15"/>
    <n v="0"/>
    <x v="0"/>
    <n v="5.3"/>
  </r>
  <r>
    <s v="T1360"/>
    <x v="4"/>
    <d v="2026-09-08T00:00:00"/>
    <d v="1899-12-30T21:30:00"/>
    <n v="117"/>
    <n v="107"/>
    <n v="5"/>
    <s v="Suburban Link"/>
    <n v="24.8"/>
    <n v="28"/>
    <x v="4"/>
    <x v="0"/>
    <n v="0"/>
    <n v="0"/>
    <s v=""/>
    <n v="1"/>
    <n v="1"/>
    <n v="2"/>
    <x v="10"/>
    <n v="0"/>
    <x v="0"/>
    <n v="4.72"/>
  </r>
  <r>
    <s v="T1361"/>
    <x v="3"/>
    <d v="2026-09-01T00:00:00"/>
    <d v="1899-12-30T12:45:00"/>
    <n v="127"/>
    <n v="132"/>
    <n v="6"/>
    <s v="Corridor North"/>
    <n v="18.5"/>
    <n v="22"/>
    <x v="3"/>
    <x v="0"/>
    <n v="0"/>
    <n v="0"/>
    <s v=""/>
    <n v="1"/>
    <n v="1"/>
    <n v="12"/>
    <x v="14"/>
    <n v="0"/>
    <x v="0"/>
    <n v="6.86"/>
  </r>
  <r>
    <s v="T1362"/>
    <x v="3"/>
    <d v="2026-09-25T00:00:00"/>
    <d v="1899-12-30T12:00:00"/>
    <n v="145"/>
    <n v="150"/>
    <n v="6"/>
    <s v="Corridor North"/>
    <n v="18.5"/>
    <n v="22"/>
    <x v="3"/>
    <x v="3"/>
    <n v="0"/>
    <n v="0"/>
    <s v=""/>
    <n v="1"/>
    <n v="1"/>
    <n v="3"/>
    <x v="14"/>
    <n v="0"/>
    <x v="0"/>
    <n v="7.84"/>
  </r>
  <r>
    <s v="T1363"/>
    <x v="4"/>
    <d v="2026-09-23T00:00:00"/>
    <d v="1899-12-30T13:15:00"/>
    <n v="179"/>
    <n v="168"/>
    <n v="6"/>
    <s v="Suburban Link"/>
    <n v="24.8"/>
    <n v="28"/>
    <x v="4"/>
    <x v="6"/>
    <n v="0"/>
    <n v="0"/>
    <s v=""/>
    <n v="1"/>
    <n v="1"/>
    <n v="3"/>
    <x v="5"/>
    <n v="0"/>
    <x v="0"/>
    <n v="7.22"/>
  </r>
  <r>
    <s v="T1364"/>
    <x v="1"/>
    <d v="2026-09-03T00:00:00"/>
    <d v="1899-12-30T19:15:00"/>
    <n v="122"/>
    <n v="126"/>
    <n v="3"/>
    <s v="Airport Express"/>
    <n v="32"/>
    <n v="14"/>
    <x v="1"/>
    <x v="4"/>
    <n v="0"/>
    <n v="0"/>
    <s v=""/>
    <n v="1"/>
    <n v="1"/>
    <n v="2"/>
    <x v="8"/>
    <n v="1"/>
    <x v="0"/>
    <n v="3.81"/>
  </r>
  <r>
    <s v="T1365"/>
    <x v="2"/>
    <d v="2026-09-24T00:00:00"/>
    <d v="1899-12-30T07:00:00"/>
    <n v="55"/>
    <n v="49"/>
    <n v="3"/>
    <s v="Downtown Loop"/>
    <n v="12.2"/>
    <n v="18"/>
    <x v="2"/>
    <x v="4"/>
    <n v="0"/>
    <n v="0"/>
    <s v=""/>
    <n v="1"/>
    <n v="1"/>
    <n v="18"/>
    <x v="6"/>
    <n v="0"/>
    <x v="0"/>
    <n v="4.51"/>
  </r>
  <r>
    <s v="T1366"/>
    <x v="3"/>
    <d v="2026-09-23T00:00:00"/>
    <d v="1899-12-30T08:15:00"/>
    <n v="84"/>
    <n v="83"/>
    <n v="3"/>
    <s v="Corridor North"/>
    <n v="18.5"/>
    <n v="22"/>
    <x v="3"/>
    <x v="6"/>
    <n v="0"/>
    <n v="0"/>
    <s v=""/>
    <n v="1"/>
    <n v="1"/>
    <n v="7"/>
    <x v="13"/>
    <n v="1"/>
    <x v="0"/>
    <n v="4.54"/>
  </r>
  <r>
    <s v="T1367"/>
    <x v="1"/>
    <d v="2026-09-27T00:00:00"/>
    <d v="1899-12-30T08:15:00"/>
    <n v="74"/>
    <n v="72"/>
    <n v="2"/>
    <s v="Airport Express"/>
    <n v="32"/>
    <n v="14"/>
    <x v="1"/>
    <x v="2"/>
    <n v="1"/>
    <n v="0"/>
    <s v="Music Fest"/>
    <n v="1"/>
    <n v="1"/>
    <n v="1"/>
    <x v="13"/>
    <n v="1"/>
    <x v="1"/>
    <n v="2.31"/>
  </r>
  <r>
    <s v="T1368"/>
    <x v="3"/>
    <d v="2026-09-29T00:00:00"/>
    <d v="1899-12-30T13:00:00"/>
    <n v="105"/>
    <n v="84"/>
    <n v="5"/>
    <s v="Corridor North"/>
    <n v="18.5"/>
    <n v="22"/>
    <x v="3"/>
    <x v="0"/>
    <n v="0"/>
    <n v="0"/>
    <s v=""/>
    <n v="1"/>
    <n v="1"/>
    <n v="0"/>
    <x v="5"/>
    <n v="0"/>
    <x v="0"/>
    <n v="5.68"/>
  </r>
  <r>
    <s v="T1369"/>
    <x v="1"/>
    <d v="2026-09-08T00:00:00"/>
    <d v="1899-12-30T22:15:00"/>
    <n v="104"/>
    <n v="106"/>
    <n v="6"/>
    <s v="Airport Express"/>
    <n v="32"/>
    <n v="14"/>
    <x v="1"/>
    <x v="0"/>
    <n v="0"/>
    <n v="0"/>
    <s v=""/>
    <n v="1"/>
    <n v="1"/>
    <n v="4"/>
    <x v="11"/>
    <n v="0"/>
    <x v="0"/>
    <n v="3.25"/>
  </r>
  <r>
    <s v="T1370"/>
    <x v="3"/>
    <d v="2026-09-22T00:00:00"/>
    <d v="1899-12-30T08:45:00"/>
    <n v="67"/>
    <n v="64"/>
    <n v="3"/>
    <s v="Corridor North"/>
    <n v="18.5"/>
    <n v="22"/>
    <x v="3"/>
    <x v="0"/>
    <n v="0"/>
    <n v="0"/>
    <s v=""/>
    <n v="1"/>
    <n v="1"/>
    <n v="9"/>
    <x v="13"/>
    <n v="1"/>
    <x v="0"/>
    <n v="3.62"/>
  </r>
  <r>
    <s v="T1371"/>
    <x v="4"/>
    <d v="2026-09-25T00:00:00"/>
    <d v="1899-12-30T12:15:00"/>
    <n v="172"/>
    <n v="180"/>
    <n v="6"/>
    <s v="Suburban Link"/>
    <n v="24.8"/>
    <n v="28"/>
    <x v="4"/>
    <x v="3"/>
    <n v="0"/>
    <n v="0"/>
    <s v=""/>
    <n v="1"/>
    <n v="1"/>
    <n v="39"/>
    <x v="14"/>
    <n v="0"/>
    <x v="0"/>
    <n v="6.94"/>
  </r>
  <r>
    <s v="T1372"/>
    <x v="2"/>
    <d v="2026-09-15T00:00:00"/>
    <d v="1899-12-30T17:00:00"/>
    <n v="51"/>
    <n v="43"/>
    <n v="3"/>
    <s v="Downtown Loop"/>
    <n v="12.2"/>
    <n v="18"/>
    <x v="2"/>
    <x v="0"/>
    <n v="0"/>
    <n v="0"/>
    <s v=""/>
    <n v="1"/>
    <n v="1"/>
    <n v="6"/>
    <x v="1"/>
    <n v="1"/>
    <x v="0"/>
    <n v="4.18"/>
  </r>
  <r>
    <s v="T1373"/>
    <x v="1"/>
    <d v="2026-09-05T00:00:00"/>
    <d v="1899-12-30T20:45:00"/>
    <n v="120"/>
    <n v="111"/>
    <n v="5"/>
    <s v="Airport Express"/>
    <n v="32"/>
    <n v="14"/>
    <x v="1"/>
    <x v="1"/>
    <n v="1"/>
    <n v="1"/>
    <s v=""/>
    <n v="1"/>
    <n v="1"/>
    <n v="0"/>
    <x v="15"/>
    <n v="0"/>
    <x v="0"/>
    <n v="3.75"/>
  </r>
  <r>
    <s v="T1374"/>
    <x v="0"/>
    <d v="2026-09-03T00:00:00"/>
    <d v="1899-12-30T06:30:00"/>
    <n v="77"/>
    <n v="87"/>
    <n v="2"/>
    <s v="Tech Park Shuttle"/>
    <n v="15"/>
    <n v="16"/>
    <x v="0"/>
    <x v="4"/>
    <n v="0"/>
    <n v="0"/>
    <s v=""/>
    <n v="1"/>
    <n v="1"/>
    <n v="1"/>
    <x v="12"/>
    <n v="0"/>
    <x v="0"/>
    <n v="5.13"/>
  </r>
  <r>
    <s v="T1375"/>
    <x v="1"/>
    <d v="2026-09-19T00:00:00"/>
    <d v="1899-12-30T14:30:00"/>
    <n v="85"/>
    <n v="80"/>
    <n v="5"/>
    <s v="Airport Express"/>
    <n v="32"/>
    <n v="14"/>
    <x v="1"/>
    <x v="1"/>
    <n v="1"/>
    <n v="1"/>
    <s v=""/>
    <n v="1"/>
    <n v="1"/>
    <n v="17"/>
    <x v="7"/>
    <n v="0"/>
    <x v="0"/>
    <n v="2.66"/>
  </r>
  <r>
    <s v="T1376"/>
    <x v="3"/>
    <d v="2026-09-01T00:00:00"/>
    <d v="1899-12-30T21:45:00"/>
    <n v="119"/>
    <n v="105"/>
    <n v="6"/>
    <s v="Corridor North"/>
    <n v="18.5"/>
    <n v="22"/>
    <x v="3"/>
    <x v="0"/>
    <n v="0"/>
    <n v="0"/>
    <s v=""/>
    <n v="1"/>
    <n v="1"/>
    <n v="0"/>
    <x v="10"/>
    <n v="0"/>
    <x v="0"/>
    <n v="6.43"/>
  </r>
  <r>
    <s v="T1377"/>
    <x v="3"/>
    <d v="2026-09-28T00:00:00"/>
    <d v="1899-12-30T22:30:00"/>
    <n v="125"/>
    <n v="123"/>
    <n v="4"/>
    <s v="Corridor North"/>
    <n v="18.5"/>
    <n v="22"/>
    <x v="3"/>
    <x v="5"/>
    <n v="0"/>
    <n v="0"/>
    <s v=""/>
    <n v="1"/>
    <n v="1"/>
    <n v="5"/>
    <x v="11"/>
    <n v="0"/>
    <x v="0"/>
    <n v="6.76"/>
  </r>
  <r>
    <s v="T1378"/>
    <x v="1"/>
    <d v="2026-09-15T00:00:00"/>
    <d v="1899-12-30T13:00:00"/>
    <n v="31"/>
    <n v="35"/>
    <n v="3"/>
    <s v="Airport Express"/>
    <n v="32"/>
    <n v="14"/>
    <x v="1"/>
    <x v="0"/>
    <n v="0"/>
    <n v="0"/>
    <s v=""/>
    <n v="1"/>
    <n v="1"/>
    <n v="1"/>
    <x v="5"/>
    <n v="0"/>
    <x v="0"/>
    <n v="0.97"/>
  </r>
  <r>
    <s v="T1379"/>
    <x v="1"/>
    <d v="2026-09-08T00:00:00"/>
    <d v="1899-12-30T12:30:00"/>
    <n v="43"/>
    <n v="46"/>
    <n v="3"/>
    <s v="Airport Express"/>
    <n v="32"/>
    <n v="14"/>
    <x v="1"/>
    <x v="0"/>
    <n v="0"/>
    <n v="0"/>
    <s v=""/>
    <n v="1"/>
    <n v="1"/>
    <n v="1"/>
    <x v="14"/>
    <n v="0"/>
    <x v="0"/>
    <n v="1.34"/>
  </r>
  <r>
    <s v="T1380"/>
    <x v="1"/>
    <d v="2026-09-02T00:00:00"/>
    <d v="1899-12-30T18:45:00"/>
    <n v="177"/>
    <n v="177"/>
    <n v="6"/>
    <s v="Airport Express"/>
    <n v="32"/>
    <n v="14"/>
    <x v="1"/>
    <x v="6"/>
    <n v="0"/>
    <n v="0"/>
    <s v=""/>
    <n v="1"/>
    <n v="1"/>
    <n v="3"/>
    <x v="0"/>
    <n v="1"/>
    <x v="0"/>
    <n v="5.53"/>
  </r>
  <r>
    <s v="T1381"/>
    <x v="4"/>
    <d v="2026-09-03T00:00:00"/>
    <d v="1899-12-30T22:15:00"/>
    <n v="119"/>
    <n v="118"/>
    <n v="4"/>
    <s v="Suburban Link"/>
    <n v="24.8"/>
    <n v="28"/>
    <x v="4"/>
    <x v="4"/>
    <n v="0"/>
    <n v="0"/>
    <s v=""/>
    <n v="1"/>
    <n v="1"/>
    <n v="2"/>
    <x v="11"/>
    <n v="0"/>
    <x v="0"/>
    <n v="4.8"/>
  </r>
  <r>
    <s v="T1382"/>
    <x v="0"/>
    <d v="2026-09-24T00:00:00"/>
    <d v="1899-12-30T16:45:00"/>
    <n v="93"/>
    <n v="100"/>
    <n v="5"/>
    <s v="Tech Park Shuttle"/>
    <n v="15"/>
    <n v="16"/>
    <x v="0"/>
    <x v="4"/>
    <n v="0"/>
    <n v="0"/>
    <s v=""/>
    <n v="1"/>
    <n v="1"/>
    <n v="12"/>
    <x v="2"/>
    <n v="0"/>
    <x v="0"/>
    <n v="6.2"/>
  </r>
  <r>
    <s v="T1383"/>
    <x v="4"/>
    <d v="2026-09-14T00:00:00"/>
    <d v="1899-12-30T18:00:00"/>
    <n v="142"/>
    <n v="127"/>
    <n v="6"/>
    <s v="Suburban Link"/>
    <n v="24.8"/>
    <n v="28"/>
    <x v="4"/>
    <x v="5"/>
    <n v="0"/>
    <n v="0"/>
    <s v=""/>
    <n v="1"/>
    <n v="1"/>
    <n v="0"/>
    <x v="0"/>
    <n v="1"/>
    <x v="0"/>
    <n v="5.73"/>
  </r>
  <r>
    <s v="T1384"/>
    <x v="4"/>
    <d v="2026-09-24T00:00:00"/>
    <d v="1899-12-30T07:15:00"/>
    <n v="44"/>
    <n v="45"/>
    <n v="2"/>
    <s v="Suburban Link"/>
    <n v="24.8"/>
    <n v="28"/>
    <x v="4"/>
    <x v="4"/>
    <n v="0"/>
    <n v="0"/>
    <s v=""/>
    <n v="1"/>
    <n v="1"/>
    <n v="9"/>
    <x v="6"/>
    <n v="0"/>
    <x v="0"/>
    <n v="1.77"/>
  </r>
  <r>
    <s v="T1385"/>
    <x v="4"/>
    <d v="2026-09-14T00:00:00"/>
    <d v="1899-12-30T11:00:00"/>
    <n v="159"/>
    <n v="159"/>
    <n v="6"/>
    <s v="Suburban Link"/>
    <n v="24.8"/>
    <n v="28"/>
    <x v="4"/>
    <x v="5"/>
    <n v="0"/>
    <n v="0"/>
    <s v=""/>
    <n v="1"/>
    <n v="1"/>
    <n v="0"/>
    <x v="9"/>
    <n v="0"/>
    <x v="0"/>
    <n v="6.41"/>
  </r>
  <r>
    <s v="T1386"/>
    <x v="4"/>
    <d v="2026-09-11T00:00:00"/>
    <d v="1899-12-30T16:00:00"/>
    <n v="69"/>
    <n v="69"/>
    <n v="3"/>
    <s v="Suburban Link"/>
    <n v="24.8"/>
    <n v="28"/>
    <x v="4"/>
    <x v="3"/>
    <n v="0"/>
    <n v="0"/>
    <s v=""/>
    <n v="1"/>
    <n v="1"/>
    <n v="4"/>
    <x v="2"/>
    <n v="0"/>
    <x v="0"/>
    <n v="2.78"/>
  </r>
  <r>
    <s v="T1387"/>
    <x v="4"/>
    <d v="2026-09-16T00:00:00"/>
    <d v="1899-12-30T19:15:00"/>
    <n v="140"/>
    <n v="138"/>
    <n v="6"/>
    <s v="Suburban Link"/>
    <n v="24.8"/>
    <n v="28"/>
    <x v="4"/>
    <x v="6"/>
    <n v="0"/>
    <n v="0"/>
    <s v=""/>
    <n v="1"/>
    <n v="1"/>
    <n v="6"/>
    <x v="8"/>
    <n v="1"/>
    <x v="0"/>
    <n v="5.65"/>
  </r>
  <r>
    <s v="T1388"/>
    <x v="2"/>
    <d v="2026-09-04T00:00:00"/>
    <d v="1899-12-30T17:15:00"/>
    <n v="143"/>
    <n v="147"/>
    <n v="5"/>
    <s v="Downtown Loop"/>
    <n v="12.2"/>
    <n v="18"/>
    <x v="2"/>
    <x v="3"/>
    <n v="0"/>
    <n v="0"/>
    <s v=""/>
    <n v="1"/>
    <n v="1"/>
    <n v="1"/>
    <x v="1"/>
    <n v="1"/>
    <x v="0"/>
    <n v="11.72"/>
  </r>
  <r>
    <s v="T1389"/>
    <x v="1"/>
    <d v="2026-09-20T00:00:00"/>
    <d v="1899-12-30T12:15:00"/>
    <n v="72"/>
    <n v="81"/>
    <n v="3"/>
    <s v="Airport Express"/>
    <n v="32"/>
    <n v="14"/>
    <x v="1"/>
    <x v="2"/>
    <n v="1"/>
    <n v="0"/>
    <s v="Marathon"/>
    <n v="1"/>
    <n v="1"/>
    <n v="0"/>
    <x v="14"/>
    <n v="0"/>
    <x v="1"/>
    <n v="2.25"/>
  </r>
  <r>
    <s v="T1390"/>
    <x v="4"/>
    <d v="2026-09-05T00:00:00"/>
    <d v="1899-12-30T12:15:00"/>
    <n v="122"/>
    <n v="117"/>
    <n v="3"/>
    <s v="Suburban Link"/>
    <n v="24.8"/>
    <n v="28"/>
    <x v="4"/>
    <x v="1"/>
    <n v="1"/>
    <n v="1"/>
    <s v=""/>
    <n v="1"/>
    <n v="1"/>
    <n v="3"/>
    <x v="14"/>
    <n v="0"/>
    <x v="0"/>
    <n v="4.92"/>
  </r>
  <r>
    <s v="T1391"/>
    <x v="1"/>
    <d v="2026-09-22T00:00:00"/>
    <d v="1899-12-30T11:30:00"/>
    <n v="90"/>
    <n v="96"/>
    <n v="6"/>
    <s v="Airport Express"/>
    <n v="32"/>
    <n v="14"/>
    <x v="1"/>
    <x v="0"/>
    <n v="0"/>
    <n v="0"/>
    <s v=""/>
    <n v="1"/>
    <n v="1"/>
    <n v="4"/>
    <x v="9"/>
    <n v="0"/>
    <x v="0"/>
    <n v="2.81"/>
  </r>
  <r>
    <s v="T1392"/>
    <x v="1"/>
    <d v="2026-09-21T00:00:00"/>
    <d v="1899-12-30T16:45:00"/>
    <n v="110"/>
    <n v="115"/>
    <n v="4"/>
    <s v="Airport Express"/>
    <n v="32"/>
    <n v="14"/>
    <x v="1"/>
    <x v="5"/>
    <n v="0"/>
    <n v="0"/>
    <s v=""/>
    <n v="1"/>
    <n v="1"/>
    <n v="5"/>
    <x v="2"/>
    <n v="0"/>
    <x v="0"/>
    <n v="3.44"/>
  </r>
  <r>
    <s v="T1393"/>
    <x v="3"/>
    <d v="2026-09-14T00:00:00"/>
    <d v="1899-12-30T15:45:00"/>
    <n v="57"/>
    <n v="60"/>
    <n v="4"/>
    <s v="Corridor North"/>
    <n v="18.5"/>
    <n v="22"/>
    <x v="3"/>
    <x v="5"/>
    <n v="0"/>
    <n v="0"/>
    <s v=""/>
    <n v="1"/>
    <n v="1"/>
    <n v="5"/>
    <x v="17"/>
    <n v="0"/>
    <x v="0"/>
    <n v="3.08"/>
  </r>
  <r>
    <s v="T1394"/>
    <x v="2"/>
    <d v="2026-09-23T00:00:00"/>
    <d v="1899-12-30T15:00:00"/>
    <n v="82"/>
    <n v="81"/>
    <n v="5"/>
    <s v="Downtown Loop"/>
    <n v="12.2"/>
    <n v="18"/>
    <x v="2"/>
    <x v="6"/>
    <n v="0"/>
    <n v="0"/>
    <s v=""/>
    <n v="1"/>
    <n v="1"/>
    <n v="7"/>
    <x v="17"/>
    <n v="0"/>
    <x v="0"/>
    <n v="6.72"/>
  </r>
  <r>
    <s v="T1395"/>
    <x v="4"/>
    <d v="2026-09-16T00:00:00"/>
    <d v="1899-12-30T17:15:00"/>
    <n v="99"/>
    <n v="95"/>
    <n v="6"/>
    <s v="Suburban Link"/>
    <n v="24.8"/>
    <n v="28"/>
    <x v="4"/>
    <x v="6"/>
    <n v="0"/>
    <n v="0"/>
    <s v=""/>
    <n v="1"/>
    <n v="1"/>
    <n v="0"/>
    <x v="1"/>
    <n v="1"/>
    <x v="0"/>
    <n v="3.99"/>
  </r>
  <r>
    <s v="T1396"/>
    <x v="3"/>
    <d v="2026-09-18T00:00:00"/>
    <d v="1899-12-30T06:00:00"/>
    <n v="40"/>
    <n v="38"/>
    <n v="3"/>
    <s v="Corridor North"/>
    <n v="18.5"/>
    <n v="22"/>
    <x v="3"/>
    <x v="3"/>
    <n v="0"/>
    <n v="0"/>
    <s v=""/>
    <n v="1"/>
    <n v="1"/>
    <n v="17"/>
    <x v="12"/>
    <n v="0"/>
    <x v="0"/>
    <n v="2.16"/>
  </r>
  <r>
    <s v="T1397"/>
    <x v="1"/>
    <d v="2026-09-07T00:00:00"/>
    <d v="1899-12-30T19:45:00"/>
    <n v="45"/>
    <n v="34"/>
    <n v="3"/>
    <s v="Airport Express"/>
    <n v="32"/>
    <n v="14"/>
    <x v="1"/>
    <x v="5"/>
    <n v="0"/>
    <n v="0"/>
    <s v=""/>
    <n v="1"/>
    <n v="1"/>
    <n v="7"/>
    <x v="8"/>
    <n v="1"/>
    <x v="0"/>
    <n v="1.41"/>
  </r>
  <r>
    <s v="T1398"/>
    <x v="0"/>
    <d v="2026-09-10T00:00:00"/>
    <d v="1899-12-30T22:30:00"/>
    <n v="113"/>
    <n v="115"/>
    <n v="5"/>
    <s v="Tech Park Shuttle"/>
    <n v="15"/>
    <n v="16"/>
    <x v="0"/>
    <x v="4"/>
    <n v="0"/>
    <n v="0"/>
    <s v=""/>
    <n v="1"/>
    <n v="1"/>
    <n v="4"/>
    <x v="11"/>
    <n v="0"/>
    <x v="0"/>
    <n v="7.53"/>
  </r>
  <r>
    <s v="T1399"/>
    <x v="3"/>
    <d v="2026-09-07T00:00:00"/>
    <d v="1899-12-30T19:30:00"/>
    <n v="60"/>
    <n v="56"/>
    <n v="3"/>
    <s v="Corridor North"/>
    <n v="18.5"/>
    <n v="22"/>
    <x v="3"/>
    <x v="5"/>
    <n v="0"/>
    <n v="0"/>
    <s v=""/>
    <n v="1"/>
    <n v="1"/>
    <n v="11"/>
    <x v="8"/>
    <n v="1"/>
    <x v="0"/>
    <n v="3.24"/>
  </r>
  <r>
    <s v="T1400"/>
    <x v="2"/>
    <d v="2026-09-01T00:00:00"/>
    <d v="1899-12-30T16:00:00"/>
    <n v="126"/>
    <n v="126"/>
    <n v="4"/>
    <s v="Downtown Loop"/>
    <n v="12.2"/>
    <n v="18"/>
    <x v="2"/>
    <x v="0"/>
    <n v="0"/>
    <n v="0"/>
    <s v=""/>
    <n v="1"/>
    <n v="1"/>
    <n v="2"/>
    <x v="2"/>
    <n v="0"/>
    <x v="0"/>
    <n v="10.33"/>
  </r>
  <r>
    <s v="T1401"/>
    <x v="1"/>
    <d v="2026-09-23T00:00:00"/>
    <d v="1899-12-30T15:00:00"/>
    <n v="145"/>
    <n v="132"/>
    <n v="5"/>
    <s v="Airport Express"/>
    <n v="32"/>
    <n v="14"/>
    <x v="1"/>
    <x v="6"/>
    <n v="0"/>
    <n v="0"/>
    <s v=""/>
    <n v="1"/>
    <n v="1"/>
    <n v="3"/>
    <x v="17"/>
    <n v="0"/>
    <x v="0"/>
    <n v="4.53"/>
  </r>
  <r>
    <s v="T1402"/>
    <x v="2"/>
    <d v="2026-09-21T00:00:00"/>
    <d v="1899-12-30T05:45:00"/>
    <n v="132"/>
    <n v="128"/>
    <n v="5"/>
    <s v="Downtown Loop"/>
    <n v="12.2"/>
    <n v="18"/>
    <x v="2"/>
    <x v="5"/>
    <n v="0"/>
    <n v="0"/>
    <s v=""/>
    <n v="1"/>
    <n v="1"/>
    <n v="5"/>
    <x v="16"/>
    <n v="0"/>
    <x v="0"/>
    <n v="10.82"/>
  </r>
  <r>
    <s v="T1403"/>
    <x v="1"/>
    <d v="2026-09-19T00:00:00"/>
    <d v="1899-12-30T07:30:00"/>
    <n v="181"/>
    <n v="183"/>
    <n v="7"/>
    <s v="Airport Express"/>
    <n v="32"/>
    <n v="14"/>
    <x v="1"/>
    <x v="1"/>
    <n v="1"/>
    <n v="1"/>
    <s v=""/>
    <n v="1"/>
    <n v="1"/>
    <n v="4"/>
    <x v="6"/>
    <n v="0"/>
    <x v="0"/>
    <n v="5.66"/>
  </r>
  <r>
    <s v="T1404"/>
    <x v="1"/>
    <d v="2026-09-16T00:00:00"/>
    <d v="1899-12-30T11:45:00"/>
    <n v="45"/>
    <n v="30"/>
    <n v="4"/>
    <s v="Airport Express"/>
    <n v="32"/>
    <n v="14"/>
    <x v="1"/>
    <x v="6"/>
    <n v="0"/>
    <n v="0"/>
    <s v=""/>
    <n v="1"/>
    <n v="1"/>
    <n v="8"/>
    <x v="9"/>
    <n v="0"/>
    <x v="0"/>
    <n v="1.41"/>
  </r>
  <r>
    <s v="T1405"/>
    <x v="1"/>
    <d v="2026-09-29T00:00:00"/>
    <d v="1899-12-30T19:00:00"/>
    <n v="103"/>
    <n v="98"/>
    <n v="5"/>
    <s v="Airport Express"/>
    <n v="32"/>
    <n v="14"/>
    <x v="1"/>
    <x v="0"/>
    <n v="0"/>
    <n v="0"/>
    <s v=""/>
    <n v="1"/>
    <n v="1"/>
    <n v="11"/>
    <x v="8"/>
    <n v="1"/>
    <x v="0"/>
    <n v="3.22"/>
  </r>
  <r>
    <s v="T1406"/>
    <x v="3"/>
    <d v="2026-09-19T00:00:00"/>
    <d v="1899-12-30T09:30:00"/>
    <n v="24"/>
    <n v="21"/>
    <n v="3"/>
    <s v="Corridor North"/>
    <n v="18.5"/>
    <n v="22"/>
    <x v="3"/>
    <x v="1"/>
    <n v="1"/>
    <n v="1"/>
    <s v=""/>
    <n v="1"/>
    <n v="1"/>
    <n v="9"/>
    <x v="4"/>
    <n v="1"/>
    <x v="0"/>
    <n v="1.3"/>
  </r>
  <r>
    <s v="T1407"/>
    <x v="3"/>
    <d v="2026-09-04T00:00:00"/>
    <d v="1899-12-30T12:15:00"/>
    <n v="161"/>
    <n v="159"/>
    <n v="5"/>
    <s v="Corridor North"/>
    <n v="18.5"/>
    <n v="22"/>
    <x v="3"/>
    <x v="3"/>
    <n v="0"/>
    <n v="0"/>
    <s v=""/>
    <n v="1"/>
    <n v="1"/>
    <n v="18"/>
    <x v="14"/>
    <n v="0"/>
    <x v="0"/>
    <n v="8.6999999999999993"/>
  </r>
  <r>
    <s v="T1408"/>
    <x v="1"/>
    <d v="2026-09-29T00:00:00"/>
    <d v="1899-12-30T20:45:00"/>
    <n v="83"/>
    <n v="78"/>
    <n v="4"/>
    <s v="Airport Express"/>
    <n v="32"/>
    <n v="14"/>
    <x v="1"/>
    <x v="0"/>
    <n v="0"/>
    <n v="0"/>
    <s v=""/>
    <n v="1"/>
    <n v="1"/>
    <n v="14"/>
    <x v="15"/>
    <n v="0"/>
    <x v="0"/>
    <n v="2.59"/>
  </r>
  <r>
    <s v="T1409"/>
    <x v="1"/>
    <d v="2026-09-28T00:00:00"/>
    <d v="1899-12-30T05:45:00"/>
    <n v="107"/>
    <n v="97"/>
    <n v="5"/>
    <s v="Airport Express"/>
    <n v="32"/>
    <n v="14"/>
    <x v="1"/>
    <x v="5"/>
    <n v="0"/>
    <n v="0"/>
    <s v=""/>
    <n v="1"/>
    <n v="1"/>
    <n v="0"/>
    <x v="16"/>
    <n v="0"/>
    <x v="0"/>
    <n v="3.34"/>
  </r>
  <r>
    <s v="T1410"/>
    <x v="4"/>
    <d v="2026-09-18T00:00:00"/>
    <d v="1899-12-30T09:30:00"/>
    <n v="147"/>
    <n v="149"/>
    <n v="5"/>
    <s v="Suburban Link"/>
    <n v="24.8"/>
    <n v="28"/>
    <x v="4"/>
    <x v="3"/>
    <n v="0"/>
    <n v="0"/>
    <s v=""/>
    <n v="1"/>
    <n v="1"/>
    <n v="5"/>
    <x v="4"/>
    <n v="1"/>
    <x v="0"/>
    <n v="5.93"/>
  </r>
  <r>
    <s v="T1411"/>
    <x v="2"/>
    <d v="2026-09-02T00:00:00"/>
    <d v="1899-12-30T05:45:00"/>
    <n v="42"/>
    <n v="38"/>
    <n v="3"/>
    <s v="Downtown Loop"/>
    <n v="12.2"/>
    <n v="18"/>
    <x v="2"/>
    <x v="6"/>
    <n v="0"/>
    <n v="0"/>
    <s v=""/>
    <n v="1"/>
    <n v="1"/>
    <n v="4"/>
    <x v="16"/>
    <n v="0"/>
    <x v="0"/>
    <n v="3.44"/>
  </r>
  <r>
    <s v="T1412"/>
    <x v="4"/>
    <d v="2026-09-01T00:00:00"/>
    <d v="1899-12-30T12:30:00"/>
    <n v="81"/>
    <n v="72"/>
    <n v="3"/>
    <s v="Suburban Link"/>
    <n v="24.8"/>
    <n v="28"/>
    <x v="4"/>
    <x v="0"/>
    <n v="0"/>
    <n v="0"/>
    <s v=""/>
    <n v="1"/>
    <n v="1"/>
    <n v="1"/>
    <x v="14"/>
    <n v="0"/>
    <x v="0"/>
    <n v="3.27"/>
  </r>
  <r>
    <s v="T1413"/>
    <x v="2"/>
    <d v="2026-09-15T00:00:00"/>
    <d v="1899-12-30T14:15:00"/>
    <n v="97"/>
    <n v="94"/>
    <n v="3"/>
    <s v="Downtown Loop"/>
    <n v="12.2"/>
    <n v="18"/>
    <x v="2"/>
    <x v="0"/>
    <n v="0"/>
    <n v="0"/>
    <s v=""/>
    <n v="1"/>
    <n v="1"/>
    <n v="2"/>
    <x v="7"/>
    <n v="0"/>
    <x v="0"/>
    <n v="7.95"/>
  </r>
  <r>
    <s v="T1414"/>
    <x v="4"/>
    <d v="2026-09-05T00:00:00"/>
    <d v="1899-12-30T15:00:00"/>
    <n v="151"/>
    <n v="143"/>
    <n v="6"/>
    <s v="Suburban Link"/>
    <n v="24.8"/>
    <n v="28"/>
    <x v="4"/>
    <x v="1"/>
    <n v="1"/>
    <n v="1"/>
    <s v=""/>
    <n v="1"/>
    <n v="1"/>
    <n v="6"/>
    <x v="17"/>
    <n v="0"/>
    <x v="0"/>
    <n v="6.09"/>
  </r>
  <r>
    <s v="T1415"/>
    <x v="1"/>
    <d v="2026-09-20T00:00:00"/>
    <d v="1899-12-30T14:00:00"/>
    <n v="67"/>
    <n v="70"/>
    <n v="5"/>
    <s v="Airport Express"/>
    <n v="32"/>
    <n v="14"/>
    <x v="1"/>
    <x v="2"/>
    <n v="1"/>
    <n v="0"/>
    <s v="Marathon"/>
    <n v="1"/>
    <n v="1"/>
    <n v="31"/>
    <x v="7"/>
    <n v="0"/>
    <x v="1"/>
    <n v="2.09"/>
  </r>
  <r>
    <s v="T1416"/>
    <x v="1"/>
    <d v="2026-09-11T00:00:00"/>
    <d v="1899-12-30T18:30:00"/>
    <n v="148"/>
    <n v="136"/>
    <n v="5"/>
    <s v="Airport Express"/>
    <n v="32"/>
    <n v="14"/>
    <x v="1"/>
    <x v="3"/>
    <n v="0"/>
    <n v="0"/>
    <s v=""/>
    <n v="1"/>
    <n v="1"/>
    <n v="10"/>
    <x v="0"/>
    <n v="1"/>
    <x v="0"/>
    <n v="4.62"/>
  </r>
  <r>
    <s v="T1417"/>
    <x v="3"/>
    <d v="2026-09-10T00:00:00"/>
    <d v="1899-12-30T06:00:00"/>
    <n v="102"/>
    <n v="95"/>
    <n v="4"/>
    <s v="Corridor North"/>
    <n v="18.5"/>
    <n v="22"/>
    <x v="3"/>
    <x v="4"/>
    <n v="0"/>
    <n v="0"/>
    <s v=""/>
    <n v="1"/>
    <n v="1"/>
    <n v="11"/>
    <x v="12"/>
    <n v="0"/>
    <x v="0"/>
    <n v="5.51"/>
  </r>
  <r>
    <s v="T1418"/>
    <x v="2"/>
    <d v="2026-09-02T00:00:00"/>
    <d v="1899-12-30T20:00:00"/>
    <n v="78"/>
    <n v="66"/>
    <n v="5"/>
    <s v="Downtown Loop"/>
    <n v="12.2"/>
    <n v="18"/>
    <x v="2"/>
    <x v="6"/>
    <n v="0"/>
    <n v="0"/>
    <s v=""/>
    <n v="1"/>
    <n v="1"/>
    <n v="1"/>
    <x v="15"/>
    <n v="0"/>
    <x v="0"/>
    <n v="6.39"/>
  </r>
  <r>
    <s v="T1419"/>
    <x v="2"/>
    <d v="2026-09-03T00:00:00"/>
    <d v="1899-12-30T13:45:00"/>
    <n v="119"/>
    <n v="116"/>
    <n v="4"/>
    <s v="Downtown Loop"/>
    <n v="12.2"/>
    <n v="18"/>
    <x v="2"/>
    <x v="4"/>
    <n v="0"/>
    <n v="0"/>
    <s v=""/>
    <n v="1"/>
    <n v="1"/>
    <n v="11"/>
    <x v="5"/>
    <n v="0"/>
    <x v="0"/>
    <n v="9.75"/>
  </r>
  <r>
    <s v="T1420"/>
    <x v="3"/>
    <d v="2026-09-23T00:00:00"/>
    <d v="1899-12-30T08:15:00"/>
    <n v="88"/>
    <n v="86"/>
    <n v="3"/>
    <s v="Corridor North"/>
    <n v="18.5"/>
    <n v="22"/>
    <x v="3"/>
    <x v="6"/>
    <n v="0"/>
    <n v="0"/>
    <s v=""/>
    <n v="1"/>
    <n v="1"/>
    <n v="21"/>
    <x v="13"/>
    <n v="1"/>
    <x v="0"/>
    <n v="4.76"/>
  </r>
  <r>
    <s v="T1421"/>
    <x v="4"/>
    <d v="2026-09-23T00:00:00"/>
    <d v="1899-12-30T14:15:00"/>
    <n v="129"/>
    <n v="134"/>
    <n v="5"/>
    <s v="Suburban Link"/>
    <n v="24.8"/>
    <n v="28"/>
    <x v="4"/>
    <x v="6"/>
    <n v="0"/>
    <n v="0"/>
    <s v=""/>
    <n v="1"/>
    <n v="1"/>
    <n v="1"/>
    <x v="7"/>
    <n v="0"/>
    <x v="0"/>
    <n v="5.2"/>
  </r>
  <r>
    <s v="T1422"/>
    <x v="2"/>
    <d v="2026-09-12T00:00:00"/>
    <d v="1899-12-30T16:00:00"/>
    <n v="119"/>
    <n v="122"/>
    <n v="5"/>
    <s v="Downtown Loop"/>
    <n v="12.2"/>
    <n v="18"/>
    <x v="2"/>
    <x v="1"/>
    <n v="1"/>
    <n v="0"/>
    <s v="Tech Expo"/>
    <n v="1"/>
    <n v="1"/>
    <n v="5"/>
    <x v="2"/>
    <n v="0"/>
    <x v="1"/>
    <n v="9.75"/>
  </r>
  <r>
    <s v="T1423"/>
    <x v="0"/>
    <d v="2026-09-20T00:00:00"/>
    <d v="1899-12-30T18:15:00"/>
    <n v="94"/>
    <n v="96"/>
    <n v="6"/>
    <s v="Tech Park Shuttle"/>
    <n v="15"/>
    <n v="16"/>
    <x v="0"/>
    <x v="2"/>
    <n v="1"/>
    <n v="0"/>
    <s v="Marathon"/>
    <n v="1"/>
    <n v="1"/>
    <n v="1"/>
    <x v="0"/>
    <n v="1"/>
    <x v="1"/>
    <n v="6.27"/>
  </r>
  <r>
    <s v="T1424"/>
    <x v="1"/>
    <d v="2026-09-05T00:00:00"/>
    <d v="1899-12-30T06:00:00"/>
    <n v="66"/>
    <n v="63"/>
    <n v="3"/>
    <s v="Airport Express"/>
    <n v="32"/>
    <n v="14"/>
    <x v="1"/>
    <x v="1"/>
    <n v="1"/>
    <n v="1"/>
    <s v=""/>
    <n v="1"/>
    <n v="1"/>
    <n v="1"/>
    <x v="12"/>
    <n v="0"/>
    <x v="0"/>
    <n v="2.06"/>
  </r>
  <r>
    <s v="T1425"/>
    <x v="1"/>
    <d v="2026-09-05T00:00:00"/>
    <d v="1899-12-30T15:45:00"/>
    <n v="135"/>
    <n v="122"/>
    <n v="7"/>
    <s v="Airport Express"/>
    <n v="32"/>
    <n v="14"/>
    <x v="1"/>
    <x v="1"/>
    <n v="1"/>
    <n v="1"/>
    <s v=""/>
    <n v="1"/>
    <n v="1"/>
    <n v="0"/>
    <x v="17"/>
    <n v="0"/>
    <x v="0"/>
    <n v="4.22"/>
  </r>
  <r>
    <s v="T1426"/>
    <x v="3"/>
    <d v="2026-09-06T00:00:00"/>
    <d v="1899-12-30T10:45:00"/>
    <n v="39"/>
    <n v="36"/>
    <n v="3"/>
    <s v="Corridor North"/>
    <n v="18.5"/>
    <n v="22"/>
    <x v="3"/>
    <x v="2"/>
    <n v="1"/>
    <n v="0"/>
    <s v=""/>
    <n v="1"/>
    <n v="1"/>
    <n v="6"/>
    <x v="3"/>
    <n v="1"/>
    <x v="0"/>
    <n v="2.11"/>
  </r>
  <r>
    <s v="T1427"/>
    <x v="1"/>
    <d v="2026-09-30T00:00:00"/>
    <d v="1899-12-30T09:15:00"/>
    <n v="103"/>
    <n v="101"/>
    <n v="6"/>
    <s v="Airport Express"/>
    <n v="32"/>
    <n v="14"/>
    <x v="1"/>
    <x v="6"/>
    <n v="0"/>
    <n v="0"/>
    <s v=""/>
    <n v="1"/>
    <n v="1"/>
    <n v="0"/>
    <x v="4"/>
    <n v="1"/>
    <x v="0"/>
    <n v="3.22"/>
  </r>
  <r>
    <s v="T1428"/>
    <x v="0"/>
    <d v="2026-09-09T00:00:00"/>
    <d v="1899-12-30T08:30:00"/>
    <n v="143"/>
    <n v="132"/>
    <n v="6"/>
    <s v="Tech Park Shuttle"/>
    <n v="15"/>
    <n v="16"/>
    <x v="0"/>
    <x v="6"/>
    <n v="0"/>
    <n v="0"/>
    <s v=""/>
    <n v="1"/>
    <n v="1"/>
    <n v="6"/>
    <x v="13"/>
    <n v="1"/>
    <x v="0"/>
    <n v="9.5299999999999994"/>
  </r>
  <r>
    <s v="T1429"/>
    <x v="2"/>
    <d v="2026-09-02T00:00:00"/>
    <d v="1899-12-30T08:45:00"/>
    <n v="142"/>
    <n v="144"/>
    <n v="7"/>
    <s v="Downtown Loop"/>
    <n v="12.2"/>
    <n v="18"/>
    <x v="2"/>
    <x v="6"/>
    <n v="0"/>
    <n v="0"/>
    <s v=""/>
    <n v="1"/>
    <n v="1"/>
    <n v="14"/>
    <x v="13"/>
    <n v="1"/>
    <x v="0"/>
    <n v="11.64"/>
  </r>
  <r>
    <s v="T1430"/>
    <x v="2"/>
    <d v="2026-09-21T00:00:00"/>
    <d v="1899-12-30T14:45:00"/>
    <n v="28"/>
    <n v="30"/>
    <n v="3"/>
    <s v="Downtown Loop"/>
    <n v="12.2"/>
    <n v="18"/>
    <x v="2"/>
    <x v="5"/>
    <n v="0"/>
    <n v="0"/>
    <s v=""/>
    <n v="1"/>
    <n v="1"/>
    <n v="21"/>
    <x v="7"/>
    <n v="0"/>
    <x v="0"/>
    <n v="2.2999999999999998"/>
  </r>
  <r>
    <s v="T1431"/>
    <x v="0"/>
    <d v="2026-09-12T00:00:00"/>
    <d v="1899-12-30T07:15:00"/>
    <n v="79"/>
    <n v="83"/>
    <n v="7"/>
    <s v="Tech Park Shuttle"/>
    <n v="15"/>
    <n v="16"/>
    <x v="0"/>
    <x v="1"/>
    <n v="1"/>
    <n v="0"/>
    <s v="Tech Expo"/>
    <n v="1"/>
    <n v="1"/>
    <n v="2"/>
    <x v="6"/>
    <n v="0"/>
    <x v="1"/>
    <n v="5.27"/>
  </r>
  <r>
    <s v="T1432"/>
    <x v="3"/>
    <d v="2026-09-03T00:00:00"/>
    <d v="1899-12-30T09:15:00"/>
    <n v="26"/>
    <n v="25"/>
    <n v="3"/>
    <s v="Corridor North"/>
    <n v="18.5"/>
    <n v="22"/>
    <x v="3"/>
    <x v="4"/>
    <n v="0"/>
    <n v="0"/>
    <s v=""/>
    <n v="1"/>
    <n v="1"/>
    <n v="4"/>
    <x v="4"/>
    <n v="1"/>
    <x v="0"/>
    <n v="1.41"/>
  </r>
  <r>
    <s v="T1433"/>
    <x v="1"/>
    <d v="2026-09-20T00:00:00"/>
    <d v="1899-12-30T12:30:00"/>
    <n v="155"/>
    <n v="156"/>
    <n v="4"/>
    <s v="Airport Express"/>
    <n v="32"/>
    <n v="14"/>
    <x v="1"/>
    <x v="2"/>
    <n v="1"/>
    <n v="0"/>
    <s v="Marathon"/>
    <n v="1"/>
    <n v="1"/>
    <n v="6"/>
    <x v="14"/>
    <n v="0"/>
    <x v="1"/>
    <n v="4.84"/>
  </r>
  <r>
    <s v="T1434"/>
    <x v="3"/>
    <d v="2026-09-26T00:00:00"/>
    <d v="1899-12-30T14:15:00"/>
    <n v="191"/>
    <n v="175"/>
    <n v="6"/>
    <s v="Corridor North"/>
    <n v="18.5"/>
    <n v="22"/>
    <x v="3"/>
    <x v="1"/>
    <n v="1"/>
    <n v="0"/>
    <s v=""/>
    <n v="1"/>
    <n v="1"/>
    <n v="1"/>
    <x v="7"/>
    <n v="0"/>
    <x v="0"/>
    <n v="10.32"/>
  </r>
  <r>
    <s v="T1435"/>
    <x v="3"/>
    <d v="2026-09-22T00:00:00"/>
    <d v="1899-12-30T18:45:00"/>
    <n v="152"/>
    <n v="152"/>
    <n v="6"/>
    <s v="Corridor North"/>
    <n v="18.5"/>
    <n v="22"/>
    <x v="3"/>
    <x v="0"/>
    <n v="0"/>
    <n v="0"/>
    <s v=""/>
    <n v="1"/>
    <n v="1"/>
    <n v="6"/>
    <x v="0"/>
    <n v="1"/>
    <x v="0"/>
    <n v="8.2200000000000006"/>
  </r>
  <r>
    <s v="T1436"/>
    <x v="3"/>
    <d v="2026-09-12T00:00:00"/>
    <d v="1899-12-30T17:45:00"/>
    <n v="116"/>
    <n v="108"/>
    <n v="4"/>
    <s v="Corridor North"/>
    <n v="18.5"/>
    <n v="22"/>
    <x v="3"/>
    <x v="1"/>
    <n v="1"/>
    <n v="0"/>
    <s v="Tech Expo"/>
    <n v="1"/>
    <n v="1"/>
    <n v="1"/>
    <x v="1"/>
    <n v="1"/>
    <x v="1"/>
    <n v="6.27"/>
  </r>
  <r>
    <s v="T1437"/>
    <x v="0"/>
    <d v="2026-09-24T00:00:00"/>
    <d v="1899-12-30T21:30:00"/>
    <n v="106"/>
    <n v="107"/>
    <n v="5"/>
    <s v="Tech Park Shuttle"/>
    <n v="15"/>
    <n v="16"/>
    <x v="0"/>
    <x v="4"/>
    <n v="0"/>
    <n v="0"/>
    <s v=""/>
    <n v="1"/>
    <n v="1"/>
    <n v="1"/>
    <x v="10"/>
    <n v="0"/>
    <x v="0"/>
    <n v="7.07"/>
  </r>
  <r>
    <s v="T1438"/>
    <x v="4"/>
    <d v="2026-09-17T00:00:00"/>
    <d v="1899-12-30T11:45:00"/>
    <n v="162"/>
    <n v="156"/>
    <n v="7"/>
    <s v="Suburban Link"/>
    <n v="24.8"/>
    <n v="28"/>
    <x v="4"/>
    <x v="4"/>
    <n v="0"/>
    <n v="0"/>
    <s v=""/>
    <n v="1"/>
    <n v="1"/>
    <n v="18"/>
    <x v="9"/>
    <n v="0"/>
    <x v="0"/>
    <n v="6.53"/>
  </r>
  <r>
    <s v="T1439"/>
    <x v="3"/>
    <d v="2026-09-10T00:00:00"/>
    <d v="1899-12-30T18:30:00"/>
    <n v="64"/>
    <n v="65"/>
    <n v="3"/>
    <s v="Corridor North"/>
    <n v="18.5"/>
    <n v="22"/>
    <x v="3"/>
    <x v="4"/>
    <n v="0"/>
    <n v="0"/>
    <s v=""/>
    <n v="1"/>
    <n v="1"/>
    <n v="2"/>
    <x v="0"/>
    <n v="1"/>
    <x v="0"/>
    <n v="3.46"/>
  </r>
  <r>
    <s v="T1440"/>
    <x v="1"/>
    <d v="2026-09-30T00:00:00"/>
    <d v="1899-12-30T09:45:00"/>
    <n v="111"/>
    <n v="116"/>
    <n v="4"/>
    <s v="Airport Express"/>
    <n v="32"/>
    <n v="14"/>
    <x v="1"/>
    <x v="6"/>
    <n v="0"/>
    <n v="0"/>
    <s v=""/>
    <n v="1"/>
    <n v="1"/>
    <n v="3"/>
    <x v="4"/>
    <n v="1"/>
    <x v="0"/>
    <n v="3.47"/>
  </r>
  <r>
    <s v="T1441"/>
    <x v="4"/>
    <d v="2026-09-24T00:00:00"/>
    <d v="1899-12-30T08:45:00"/>
    <n v="65"/>
    <n v="66"/>
    <n v="3"/>
    <s v="Suburban Link"/>
    <n v="24.8"/>
    <n v="28"/>
    <x v="4"/>
    <x v="4"/>
    <n v="0"/>
    <n v="0"/>
    <s v=""/>
    <n v="1"/>
    <n v="1"/>
    <n v="4"/>
    <x v="13"/>
    <n v="1"/>
    <x v="0"/>
    <n v="2.62"/>
  </r>
  <r>
    <s v="T1442"/>
    <x v="3"/>
    <d v="2026-09-27T00:00:00"/>
    <d v="1899-12-30T06:15:00"/>
    <n v="91"/>
    <n v="98"/>
    <n v="7"/>
    <s v="Corridor North"/>
    <n v="18.5"/>
    <n v="22"/>
    <x v="3"/>
    <x v="2"/>
    <n v="1"/>
    <n v="0"/>
    <s v="Music Fest"/>
    <n v="1"/>
    <n v="1"/>
    <n v="3"/>
    <x v="12"/>
    <n v="0"/>
    <x v="1"/>
    <n v="4.92"/>
  </r>
  <r>
    <s v="T1443"/>
    <x v="0"/>
    <d v="2026-09-14T00:00:00"/>
    <d v="1899-12-30T22:30:00"/>
    <n v="185"/>
    <n v="172"/>
    <n v="6"/>
    <s v="Tech Park Shuttle"/>
    <n v="15"/>
    <n v="16"/>
    <x v="0"/>
    <x v="5"/>
    <n v="0"/>
    <n v="0"/>
    <s v=""/>
    <n v="1"/>
    <n v="1"/>
    <n v="4"/>
    <x v="11"/>
    <n v="0"/>
    <x v="0"/>
    <n v="12.33"/>
  </r>
  <r>
    <s v="T1444"/>
    <x v="4"/>
    <d v="2026-09-23T00:00:00"/>
    <d v="1899-12-30T21:30:00"/>
    <n v="91"/>
    <n v="83"/>
    <n v="3"/>
    <s v="Suburban Link"/>
    <n v="24.8"/>
    <n v="28"/>
    <x v="4"/>
    <x v="6"/>
    <n v="0"/>
    <n v="0"/>
    <s v=""/>
    <n v="1"/>
    <n v="1"/>
    <n v="1"/>
    <x v="10"/>
    <n v="0"/>
    <x v="0"/>
    <n v="3.67"/>
  </r>
  <r>
    <s v="T1445"/>
    <x v="0"/>
    <d v="2026-09-17T00:00:00"/>
    <d v="1899-12-30T18:30:00"/>
    <n v="79"/>
    <n v="68"/>
    <n v="3"/>
    <s v="Tech Park Shuttle"/>
    <n v="15"/>
    <n v="16"/>
    <x v="0"/>
    <x v="4"/>
    <n v="0"/>
    <n v="0"/>
    <s v=""/>
    <n v="1"/>
    <n v="1"/>
    <n v="2"/>
    <x v="0"/>
    <n v="1"/>
    <x v="0"/>
    <n v="5.27"/>
  </r>
  <r>
    <s v="T1446"/>
    <x v="3"/>
    <d v="2026-09-18T00:00:00"/>
    <d v="1899-12-30T17:45:00"/>
    <n v="183"/>
    <n v="180"/>
    <n v="5"/>
    <s v="Corridor North"/>
    <n v="18.5"/>
    <n v="22"/>
    <x v="3"/>
    <x v="3"/>
    <n v="0"/>
    <n v="0"/>
    <s v=""/>
    <n v="1"/>
    <n v="1"/>
    <n v="34"/>
    <x v="1"/>
    <n v="1"/>
    <x v="0"/>
    <n v="9.89"/>
  </r>
  <r>
    <s v="T1447"/>
    <x v="0"/>
    <d v="2026-09-19T00:00:00"/>
    <d v="1899-12-30T10:00:00"/>
    <n v="92"/>
    <n v="87"/>
    <n v="3"/>
    <s v="Tech Park Shuttle"/>
    <n v="15"/>
    <n v="16"/>
    <x v="0"/>
    <x v="1"/>
    <n v="1"/>
    <n v="1"/>
    <s v=""/>
    <n v="1"/>
    <n v="1"/>
    <n v="0"/>
    <x v="3"/>
    <n v="1"/>
    <x v="0"/>
    <n v="6.13"/>
  </r>
  <r>
    <s v="T1448"/>
    <x v="1"/>
    <d v="2026-09-17T00:00:00"/>
    <d v="1899-12-30T08:45:00"/>
    <n v="46"/>
    <n v="53"/>
    <n v="3"/>
    <s v="Airport Express"/>
    <n v="32"/>
    <n v="14"/>
    <x v="1"/>
    <x v="4"/>
    <n v="0"/>
    <n v="0"/>
    <s v=""/>
    <n v="1"/>
    <n v="1"/>
    <n v="4"/>
    <x v="13"/>
    <n v="1"/>
    <x v="0"/>
    <n v="1.44"/>
  </r>
  <r>
    <s v="T1449"/>
    <x v="3"/>
    <d v="2026-09-14T00:00:00"/>
    <d v="1899-12-30T20:00:00"/>
    <n v="166"/>
    <n v="157"/>
    <n v="4"/>
    <s v="Corridor North"/>
    <n v="18.5"/>
    <n v="22"/>
    <x v="3"/>
    <x v="5"/>
    <n v="0"/>
    <n v="0"/>
    <s v=""/>
    <n v="1"/>
    <n v="1"/>
    <n v="5"/>
    <x v="15"/>
    <n v="0"/>
    <x v="0"/>
    <n v="8.9700000000000006"/>
  </r>
  <r>
    <s v="T1450"/>
    <x v="3"/>
    <d v="2026-09-09T00:00:00"/>
    <d v="1899-12-30T08:15:00"/>
    <n v="190"/>
    <n v="193"/>
    <n v="6"/>
    <s v="Corridor North"/>
    <n v="18.5"/>
    <n v="22"/>
    <x v="3"/>
    <x v="6"/>
    <n v="0"/>
    <n v="0"/>
    <s v=""/>
    <n v="1"/>
    <n v="1"/>
    <n v="5"/>
    <x v="13"/>
    <n v="1"/>
    <x v="0"/>
    <n v="10.27"/>
  </r>
  <r>
    <s v="T1451"/>
    <x v="3"/>
    <d v="2026-09-08T00:00:00"/>
    <d v="1899-12-30T21:30:00"/>
    <n v="92"/>
    <n v="93"/>
    <n v="5"/>
    <s v="Corridor North"/>
    <n v="18.5"/>
    <n v="22"/>
    <x v="3"/>
    <x v="0"/>
    <n v="0"/>
    <n v="0"/>
    <s v=""/>
    <n v="1"/>
    <n v="1"/>
    <n v="3"/>
    <x v="10"/>
    <n v="0"/>
    <x v="0"/>
    <n v="4.97"/>
  </r>
  <r>
    <s v="T1452"/>
    <x v="3"/>
    <d v="2026-09-02T00:00:00"/>
    <d v="1899-12-30T05:15:00"/>
    <n v="74"/>
    <n v="69"/>
    <n v="6"/>
    <s v="Corridor North"/>
    <n v="18.5"/>
    <n v="22"/>
    <x v="3"/>
    <x v="6"/>
    <n v="0"/>
    <n v="0"/>
    <s v=""/>
    <n v="1"/>
    <n v="1"/>
    <n v="15"/>
    <x v="16"/>
    <n v="0"/>
    <x v="0"/>
    <n v="4"/>
  </r>
  <r>
    <s v="T1453"/>
    <x v="3"/>
    <d v="2026-09-13T00:00:00"/>
    <d v="1899-12-30T21:30:00"/>
    <n v="200"/>
    <n v="209"/>
    <n v="6"/>
    <s v="Corridor North"/>
    <n v="18.5"/>
    <n v="22"/>
    <x v="3"/>
    <x v="2"/>
    <n v="1"/>
    <n v="0"/>
    <s v=""/>
    <n v="1"/>
    <n v="1"/>
    <n v="4"/>
    <x v="10"/>
    <n v="0"/>
    <x v="0"/>
    <n v="10.81"/>
  </r>
  <r>
    <s v="T1454"/>
    <x v="3"/>
    <d v="2026-09-25T00:00:00"/>
    <d v="1899-12-30T19:30:00"/>
    <n v="151"/>
    <n v="151"/>
    <n v="7"/>
    <s v="Corridor North"/>
    <n v="18.5"/>
    <n v="22"/>
    <x v="3"/>
    <x v="3"/>
    <n v="0"/>
    <n v="0"/>
    <s v=""/>
    <n v="1"/>
    <n v="1"/>
    <n v="4"/>
    <x v="8"/>
    <n v="1"/>
    <x v="0"/>
    <n v="8.16"/>
  </r>
  <r>
    <s v="T1455"/>
    <x v="1"/>
    <d v="2026-09-07T00:00:00"/>
    <d v="1899-12-30T17:00:00"/>
    <n v="92"/>
    <n v="89"/>
    <n v="4"/>
    <s v="Airport Express"/>
    <n v="32"/>
    <n v="14"/>
    <x v="1"/>
    <x v="5"/>
    <n v="0"/>
    <n v="0"/>
    <s v=""/>
    <n v="1"/>
    <n v="1"/>
    <n v="17"/>
    <x v="1"/>
    <n v="1"/>
    <x v="0"/>
    <n v="2.88"/>
  </r>
  <r>
    <s v="T1456"/>
    <x v="4"/>
    <d v="2026-09-09T00:00:00"/>
    <d v="1899-12-30T21:15:00"/>
    <n v="72"/>
    <n v="64"/>
    <n v="3"/>
    <s v="Suburban Link"/>
    <n v="24.8"/>
    <n v="28"/>
    <x v="4"/>
    <x v="6"/>
    <n v="0"/>
    <n v="0"/>
    <s v=""/>
    <n v="1"/>
    <n v="1"/>
    <n v="11"/>
    <x v="10"/>
    <n v="0"/>
    <x v="0"/>
    <n v="2.9"/>
  </r>
  <r>
    <s v="T1457"/>
    <x v="0"/>
    <d v="2026-09-22T00:00:00"/>
    <d v="1899-12-30T08:45:00"/>
    <n v="143"/>
    <n v="140"/>
    <n v="6"/>
    <s v="Tech Park Shuttle"/>
    <n v="15"/>
    <n v="16"/>
    <x v="0"/>
    <x v="0"/>
    <n v="0"/>
    <n v="0"/>
    <s v=""/>
    <n v="1"/>
    <n v="1"/>
    <n v="1"/>
    <x v="13"/>
    <n v="1"/>
    <x v="0"/>
    <n v="9.5299999999999994"/>
  </r>
  <r>
    <s v="T1458"/>
    <x v="2"/>
    <d v="2026-09-22T00:00:00"/>
    <d v="1899-12-30T20:30:00"/>
    <n v="86"/>
    <n v="89"/>
    <n v="4"/>
    <s v="Downtown Loop"/>
    <n v="12.2"/>
    <n v="18"/>
    <x v="2"/>
    <x v="0"/>
    <n v="0"/>
    <n v="0"/>
    <s v=""/>
    <n v="1"/>
    <n v="1"/>
    <n v="13"/>
    <x v="15"/>
    <n v="0"/>
    <x v="0"/>
    <n v="7.05"/>
  </r>
  <r>
    <s v="T1459"/>
    <x v="3"/>
    <d v="2026-09-11T00:00:00"/>
    <d v="1899-12-30T19:15:00"/>
    <n v="75"/>
    <n v="73"/>
    <n v="5"/>
    <s v="Corridor North"/>
    <n v="18.5"/>
    <n v="22"/>
    <x v="3"/>
    <x v="3"/>
    <n v="0"/>
    <n v="0"/>
    <s v=""/>
    <n v="1"/>
    <n v="1"/>
    <n v="6"/>
    <x v="8"/>
    <n v="1"/>
    <x v="0"/>
    <n v="4.05"/>
  </r>
  <r>
    <s v="T1460"/>
    <x v="0"/>
    <d v="2026-09-14T00:00:00"/>
    <d v="1899-12-30T19:15:00"/>
    <n v="114"/>
    <n v="109"/>
    <n v="4"/>
    <s v="Tech Park Shuttle"/>
    <n v="15"/>
    <n v="16"/>
    <x v="0"/>
    <x v="5"/>
    <n v="0"/>
    <n v="0"/>
    <s v=""/>
    <n v="1"/>
    <n v="1"/>
    <n v="6"/>
    <x v="8"/>
    <n v="1"/>
    <x v="0"/>
    <n v="7.6"/>
  </r>
  <r>
    <s v="T1461"/>
    <x v="3"/>
    <d v="2026-09-04T00:00:00"/>
    <d v="1899-12-30T15:30:00"/>
    <n v="44"/>
    <n v="37"/>
    <n v="5"/>
    <s v="Corridor North"/>
    <n v="18.5"/>
    <n v="22"/>
    <x v="3"/>
    <x v="3"/>
    <n v="0"/>
    <n v="0"/>
    <s v=""/>
    <n v="1"/>
    <n v="1"/>
    <n v="3"/>
    <x v="17"/>
    <n v="0"/>
    <x v="0"/>
    <n v="2.38"/>
  </r>
  <r>
    <s v="T1462"/>
    <x v="1"/>
    <d v="2026-09-26T00:00:00"/>
    <d v="1899-12-30T13:15:00"/>
    <n v="33"/>
    <n v="33"/>
    <n v="3"/>
    <s v="Airport Express"/>
    <n v="32"/>
    <n v="14"/>
    <x v="1"/>
    <x v="1"/>
    <n v="1"/>
    <n v="0"/>
    <s v=""/>
    <n v="1"/>
    <n v="1"/>
    <n v="0"/>
    <x v="5"/>
    <n v="0"/>
    <x v="0"/>
    <n v="1.03"/>
  </r>
  <r>
    <s v="T1463"/>
    <x v="3"/>
    <d v="2026-09-26T00:00:00"/>
    <d v="1899-12-30T20:00:00"/>
    <n v="106"/>
    <n v="89"/>
    <n v="6"/>
    <s v="Corridor North"/>
    <n v="18.5"/>
    <n v="22"/>
    <x v="3"/>
    <x v="1"/>
    <n v="1"/>
    <n v="0"/>
    <s v=""/>
    <n v="1"/>
    <n v="1"/>
    <n v="4"/>
    <x v="15"/>
    <n v="0"/>
    <x v="0"/>
    <n v="5.73"/>
  </r>
  <r>
    <s v="T1464"/>
    <x v="3"/>
    <d v="2026-09-29T00:00:00"/>
    <d v="1899-12-30T14:15:00"/>
    <n v="169"/>
    <n v="163"/>
    <n v="5"/>
    <s v="Corridor North"/>
    <n v="18.5"/>
    <n v="22"/>
    <x v="3"/>
    <x v="0"/>
    <n v="0"/>
    <n v="0"/>
    <s v=""/>
    <n v="1"/>
    <n v="1"/>
    <n v="3"/>
    <x v="7"/>
    <n v="0"/>
    <x v="0"/>
    <n v="9.14"/>
  </r>
  <r>
    <s v="T1465"/>
    <x v="2"/>
    <d v="2026-09-13T00:00:00"/>
    <d v="1899-12-30T07:00:00"/>
    <n v="124"/>
    <n v="121"/>
    <n v="5"/>
    <s v="Downtown Loop"/>
    <n v="12.2"/>
    <n v="18"/>
    <x v="2"/>
    <x v="2"/>
    <n v="1"/>
    <n v="0"/>
    <s v=""/>
    <n v="1"/>
    <n v="1"/>
    <n v="4"/>
    <x v="6"/>
    <n v="0"/>
    <x v="0"/>
    <n v="10.16"/>
  </r>
  <r>
    <s v="T1466"/>
    <x v="1"/>
    <d v="2026-09-02T00:00:00"/>
    <d v="1899-12-30T15:00:00"/>
    <n v="82"/>
    <n v="88"/>
    <n v="5"/>
    <s v="Airport Express"/>
    <n v="32"/>
    <n v="14"/>
    <x v="1"/>
    <x v="6"/>
    <n v="0"/>
    <n v="0"/>
    <s v=""/>
    <n v="1"/>
    <n v="1"/>
    <n v="9"/>
    <x v="17"/>
    <n v="0"/>
    <x v="0"/>
    <n v="2.56"/>
  </r>
  <r>
    <s v="T1467"/>
    <x v="3"/>
    <d v="2026-09-23T00:00:00"/>
    <d v="1899-12-30T17:15:00"/>
    <n v="55"/>
    <n v="55"/>
    <n v="2"/>
    <s v="Corridor North"/>
    <n v="18.5"/>
    <n v="22"/>
    <x v="3"/>
    <x v="6"/>
    <n v="0"/>
    <n v="0"/>
    <s v=""/>
    <n v="1"/>
    <n v="1"/>
    <n v="9"/>
    <x v="1"/>
    <n v="1"/>
    <x v="0"/>
    <n v="2.97"/>
  </r>
  <r>
    <s v="T1468"/>
    <x v="0"/>
    <d v="2026-09-05T00:00:00"/>
    <d v="1899-12-30T21:30:00"/>
    <n v="85"/>
    <n v="84"/>
    <n v="5"/>
    <s v="Tech Park Shuttle"/>
    <n v="15"/>
    <n v="16"/>
    <x v="0"/>
    <x v="1"/>
    <n v="1"/>
    <n v="1"/>
    <s v=""/>
    <n v="1"/>
    <n v="1"/>
    <n v="0"/>
    <x v="10"/>
    <n v="0"/>
    <x v="0"/>
    <n v="5.67"/>
  </r>
  <r>
    <s v="T1469"/>
    <x v="3"/>
    <d v="2026-09-11T00:00:00"/>
    <d v="1899-12-30T17:30:00"/>
    <n v="33"/>
    <n v="24"/>
    <n v="3"/>
    <s v="Corridor North"/>
    <n v="18.5"/>
    <n v="22"/>
    <x v="3"/>
    <x v="3"/>
    <n v="0"/>
    <n v="0"/>
    <s v=""/>
    <n v="1"/>
    <n v="1"/>
    <n v="2"/>
    <x v="1"/>
    <n v="1"/>
    <x v="0"/>
    <n v="1.78"/>
  </r>
  <r>
    <s v="T1470"/>
    <x v="1"/>
    <d v="2026-09-06T00:00:00"/>
    <d v="1899-12-30T14:30:00"/>
    <n v="120"/>
    <n v="134"/>
    <n v="4"/>
    <s v="Airport Express"/>
    <n v="32"/>
    <n v="14"/>
    <x v="1"/>
    <x v="2"/>
    <n v="1"/>
    <n v="0"/>
    <s v=""/>
    <n v="1"/>
    <n v="1"/>
    <n v="8"/>
    <x v="7"/>
    <n v="0"/>
    <x v="0"/>
    <n v="3.75"/>
  </r>
  <r>
    <s v="T1471"/>
    <x v="2"/>
    <d v="2026-09-18T00:00:00"/>
    <d v="1899-12-30T18:15:00"/>
    <n v="121"/>
    <n v="122"/>
    <n v="5"/>
    <s v="Downtown Loop"/>
    <n v="12.2"/>
    <n v="18"/>
    <x v="2"/>
    <x v="3"/>
    <n v="0"/>
    <n v="0"/>
    <s v=""/>
    <n v="1"/>
    <n v="1"/>
    <n v="0"/>
    <x v="0"/>
    <n v="1"/>
    <x v="0"/>
    <n v="9.92"/>
  </r>
  <r>
    <s v="T1472"/>
    <x v="1"/>
    <d v="2026-09-21T00:00:00"/>
    <d v="1899-12-30T09:00:00"/>
    <n v="81"/>
    <n v="88"/>
    <n v="7"/>
    <s v="Airport Express"/>
    <n v="32"/>
    <n v="14"/>
    <x v="1"/>
    <x v="5"/>
    <n v="0"/>
    <n v="0"/>
    <s v=""/>
    <n v="1"/>
    <n v="1"/>
    <n v="1"/>
    <x v="4"/>
    <n v="1"/>
    <x v="0"/>
    <n v="2.5299999999999998"/>
  </r>
  <r>
    <s v="T1473"/>
    <x v="3"/>
    <d v="2026-09-10T00:00:00"/>
    <d v="1899-12-30T09:45:00"/>
    <n v="128"/>
    <n v="133"/>
    <n v="5"/>
    <s v="Corridor North"/>
    <n v="18.5"/>
    <n v="22"/>
    <x v="3"/>
    <x v="4"/>
    <n v="0"/>
    <n v="0"/>
    <s v=""/>
    <n v="1"/>
    <n v="1"/>
    <n v="17"/>
    <x v="4"/>
    <n v="1"/>
    <x v="0"/>
    <n v="6.92"/>
  </r>
  <r>
    <s v="T1474"/>
    <x v="4"/>
    <d v="2026-09-04T00:00:00"/>
    <d v="1899-12-30T21:00:00"/>
    <n v="50"/>
    <n v="55"/>
    <n v="4"/>
    <s v="Suburban Link"/>
    <n v="24.8"/>
    <n v="28"/>
    <x v="4"/>
    <x v="3"/>
    <n v="0"/>
    <n v="0"/>
    <s v=""/>
    <n v="1"/>
    <n v="1"/>
    <n v="15"/>
    <x v="10"/>
    <n v="0"/>
    <x v="0"/>
    <n v="2.02"/>
  </r>
  <r>
    <s v="T1475"/>
    <x v="4"/>
    <d v="2026-09-09T00:00:00"/>
    <d v="1899-12-30T14:45:00"/>
    <n v="103"/>
    <n v="104"/>
    <n v="6"/>
    <s v="Suburban Link"/>
    <n v="24.8"/>
    <n v="28"/>
    <x v="4"/>
    <x v="6"/>
    <n v="0"/>
    <n v="0"/>
    <s v=""/>
    <n v="1"/>
    <n v="1"/>
    <n v="6"/>
    <x v="7"/>
    <n v="0"/>
    <x v="0"/>
    <n v="4.1500000000000004"/>
  </r>
  <r>
    <s v="T1476"/>
    <x v="1"/>
    <d v="2026-09-06T00:00:00"/>
    <d v="1899-12-30T09:45:00"/>
    <n v="89"/>
    <n v="88"/>
    <n v="3"/>
    <s v="Airport Express"/>
    <n v="32"/>
    <n v="14"/>
    <x v="1"/>
    <x v="2"/>
    <n v="1"/>
    <n v="0"/>
    <s v=""/>
    <n v="1"/>
    <n v="1"/>
    <n v="5"/>
    <x v="4"/>
    <n v="1"/>
    <x v="0"/>
    <n v="2.78"/>
  </r>
  <r>
    <s v="T1477"/>
    <x v="1"/>
    <d v="2026-09-02T00:00:00"/>
    <d v="1899-12-30T10:15:00"/>
    <n v="138"/>
    <n v="145"/>
    <n v="4"/>
    <s v="Airport Express"/>
    <n v="32"/>
    <n v="14"/>
    <x v="1"/>
    <x v="6"/>
    <n v="0"/>
    <n v="0"/>
    <s v=""/>
    <n v="1"/>
    <n v="1"/>
    <n v="7"/>
    <x v="3"/>
    <n v="1"/>
    <x v="0"/>
    <n v="4.3099999999999996"/>
  </r>
  <r>
    <s v="T1478"/>
    <x v="0"/>
    <d v="2026-09-17T00:00:00"/>
    <d v="1899-12-30T08:15:00"/>
    <n v="96"/>
    <n v="84"/>
    <n v="4"/>
    <s v="Tech Park Shuttle"/>
    <n v="15"/>
    <n v="16"/>
    <x v="0"/>
    <x v="4"/>
    <n v="0"/>
    <n v="0"/>
    <s v=""/>
    <n v="1"/>
    <n v="1"/>
    <n v="0"/>
    <x v="13"/>
    <n v="1"/>
    <x v="0"/>
    <n v="6.4"/>
  </r>
  <r>
    <s v="T1479"/>
    <x v="0"/>
    <d v="2026-09-05T00:00:00"/>
    <d v="1899-12-30T11:30:00"/>
    <n v="126"/>
    <n v="128"/>
    <n v="5"/>
    <s v="Tech Park Shuttle"/>
    <n v="15"/>
    <n v="16"/>
    <x v="0"/>
    <x v="1"/>
    <n v="1"/>
    <n v="1"/>
    <s v=""/>
    <n v="1"/>
    <n v="1"/>
    <n v="3"/>
    <x v="9"/>
    <n v="0"/>
    <x v="0"/>
    <n v="8.4"/>
  </r>
  <r>
    <s v="T1480"/>
    <x v="1"/>
    <d v="2026-09-25T00:00:00"/>
    <d v="1899-12-30T22:30:00"/>
    <n v="77"/>
    <n v="78"/>
    <n v="3"/>
    <s v="Airport Express"/>
    <n v="32"/>
    <n v="14"/>
    <x v="1"/>
    <x v="3"/>
    <n v="0"/>
    <n v="0"/>
    <s v=""/>
    <n v="1"/>
    <n v="1"/>
    <n v="18"/>
    <x v="11"/>
    <n v="0"/>
    <x v="0"/>
    <n v="2.41"/>
  </r>
  <r>
    <s v="T1481"/>
    <x v="3"/>
    <d v="2026-09-06T00:00:00"/>
    <d v="1899-12-30T05:45:00"/>
    <n v="64"/>
    <n v="55"/>
    <n v="3"/>
    <s v="Corridor North"/>
    <n v="18.5"/>
    <n v="22"/>
    <x v="3"/>
    <x v="2"/>
    <n v="1"/>
    <n v="0"/>
    <s v=""/>
    <n v="1"/>
    <n v="1"/>
    <n v="0"/>
    <x v="16"/>
    <n v="0"/>
    <x v="0"/>
    <n v="3.46"/>
  </r>
  <r>
    <s v="T1482"/>
    <x v="3"/>
    <d v="2026-09-26T00:00:00"/>
    <d v="1899-12-30T08:15:00"/>
    <n v="159"/>
    <n v="160"/>
    <n v="6"/>
    <s v="Corridor North"/>
    <n v="18.5"/>
    <n v="22"/>
    <x v="3"/>
    <x v="1"/>
    <n v="1"/>
    <n v="0"/>
    <s v=""/>
    <n v="1"/>
    <n v="1"/>
    <n v="2"/>
    <x v="13"/>
    <n v="1"/>
    <x v="0"/>
    <n v="8.59"/>
  </r>
  <r>
    <s v="T1483"/>
    <x v="0"/>
    <d v="2026-09-12T00:00:00"/>
    <d v="1899-12-30T13:15:00"/>
    <n v="111"/>
    <n v="116"/>
    <n v="4"/>
    <s v="Tech Park Shuttle"/>
    <n v="15"/>
    <n v="16"/>
    <x v="0"/>
    <x v="1"/>
    <n v="1"/>
    <n v="0"/>
    <s v="Tech Expo"/>
    <n v="1"/>
    <n v="1"/>
    <n v="0"/>
    <x v="5"/>
    <n v="0"/>
    <x v="1"/>
    <n v="7.4"/>
  </r>
  <r>
    <s v="T1484"/>
    <x v="0"/>
    <d v="2026-09-23T00:00:00"/>
    <d v="1899-12-30T18:45:00"/>
    <n v="80"/>
    <n v="75"/>
    <n v="5"/>
    <s v="Tech Park Shuttle"/>
    <n v="15"/>
    <n v="16"/>
    <x v="0"/>
    <x v="6"/>
    <n v="0"/>
    <n v="0"/>
    <s v=""/>
    <n v="1"/>
    <n v="1"/>
    <n v="7"/>
    <x v="0"/>
    <n v="1"/>
    <x v="0"/>
    <n v="5.33"/>
  </r>
  <r>
    <s v="T1485"/>
    <x v="4"/>
    <d v="2026-09-21T00:00:00"/>
    <d v="1899-12-30T16:45:00"/>
    <n v="43"/>
    <n v="37"/>
    <n v="3"/>
    <s v="Suburban Link"/>
    <n v="24.8"/>
    <n v="28"/>
    <x v="4"/>
    <x v="5"/>
    <n v="0"/>
    <n v="0"/>
    <s v=""/>
    <n v="1"/>
    <n v="1"/>
    <n v="4"/>
    <x v="2"/>
    <n v="0"/>
    <x v="0"/>
    <n v="1.73"/>
  </r>
  <r>
    <s v="T1486"/>
    <x v="1"/>
    <d v="2026-09-10T00:00:00"/>
    <d v="1899-12-30T08:00:00"/>
    <n v="67"/>
    <n v="61"/>
    <n v="4"/>
    <s v="Airport Express"/>
    <n v="32"/>
    <n v="14"/>
    <x v="1"/>
    <x v="4"/>
    <n v="0"/>
    <n v="0"/>
    <s v=""/>
    <n v="1"/>
    <n v="1"/>
    <n v="0"/>
    <x v="13"/>
    <n v="1"/>
    <x v="0"/>
    <n v="2.09"/>
  </r>
  <r>
    <s v="T1487"/>
    <x v="3"/>
    <d v="2026-09-22T00:00:00"/>
    <d v="1899-12-30T16:15:00"/>
    <n v="151"/>
    <n v="148"/>
    <n v="6"/>
    <s v="Corridor North"/>
    <n v="18.5"/>
    <n v="22"/>
    <x v="3"/>
    <x v="0"/>
    <n v="0"/>
    <n v="0"/>
    <s v=""/>
    <n v="1"/>
    <n v="1"/>
    <n v="4"/>
    <x v="2"/>
    <n v="0"/>
    <x v="0"/>
    <n v="8.16"/>
  </r>
  <r>
    <s v="T1488"/>
    <x v="3"/>
    <d v="2026-09-21T00:00:00"/>
    <d v="1899-12-30T11:30:00"/>
    <n v="88"/>
    <n v="92"/>
    <n v="6"/>
    <s v="Corridor North"/>
    <n v="18.5"/>
    <n v="22"/>
    <x v="3"/>
    <x v="5"/>
    <n v="0"/>
    <n v="0"/>
    <s v=""/>
    <n v="1"/>
    <n v="1"/>
    <n v="8"/>
    <x v="9"/>
    <n v="0"/>
    <x v="0"/>
    <n v="4.76"/>
  </r>
  <r>
    <s v="T1489"/>
    <x v="0"/>
    <d v="2026-09-27T00:00:00"/>
    <d v="1899-12-30T18:45:00"/>
    <n v="52"/>
    <n v="46"/>
    <n v="3"/>
    <s v="Tech Park Shuttle"/>
    <n v="15"/>
    <n v="16"/>
    <x v="0"/>
    <x v="2"/>
    <n v="1"/>
    <n v="0"/>
    <s v="Music Fest"/>
    <n v="1"/>
    <n v="1"/>
    <n v="2"/>
    <x v="0"/>
    <n v="1"/>
    <x v="1"/>
    <n v="3.47"/>
  </r>
  <r>
    <s v="T1490"/>
    <x v="4"/>
    <d v="2026-09-25T00:00:00"/>
    <d v="1899-12-30T14:45:00"/>
    <n v="60"/>
    <n v="61"/>
    <n v="3"/>
    <s v="Suburban Link"/>
    <n v="24.8"/>
    <n v="28"/>
    <x v="4"/>
    <x v="3"/>
    <n v="0"/>
    <n v="0"/>
    <s v=""/>
    <n v="1"/>
    <n v="1"/>
    <n v="6"/>
    <x v="7"/>
    <n v="0"/>
    <x v="0"/>
    <n v="2.42"/>
  </r>
  <r>
    <s v="T1491"/>
    <x v="2"/>
    <d v="2026-09-06T00:00:00"/>
    <d v="1899-12-30T20:15:00"/>
    <n v="127"/>
    <n v="127"/>
    <n v="6"/>
    <s v="Downtown Loop"/>
    <n v="12.2"/>
    <n v="18"/>
    <x v="2"/>
    <x v="2"/>
    <n v="1"/>
    <n v="0"/>
    <s v=""/>
    <n v="1"/>
    <n v="1"/>
    <n v="4"/>
    <x v="15"/>
    <n v="0"/>
    <x v="0"/>
    <n v="10.41"/>
  </r>
  <r>
    <s v="T1492"/>
    <x v="4"/>
    <d v="2026-09-27T00:00:00"/>
    <d v="1899-12-30T14:00:00"/>
    <n v="72"/>
    <n v="74"/>
    <n v="4"/>
    <s v="Suburban Link"/>
    <n v="24.8"/>
    <n v="28"/>
    <x v="4"/>
    <x v="2"/>
    <n v="1"/>
    <n v="0"/>
    <s v="Music Fest"/>
    <n v="1"/>
    <n v="1"/>
    <n v="0"/>
    <x v="7"/>
    <n v="0"/>
    <x v="1"/>
    <n v="2.9"/>
  </r>
  <r>
    <s v="T1493"/>
    <x v="3"/>
    <d v="2026-09-08T00:00:00"/>
    <d v="1899-12-30T17:15:00"/>
    <n v="137"/>
    <n v="139"/>
    <n v="4"/>
    <s v="Corridor North"/>
    <n v="18.5"/>
    <n v="22"/>
    <x v="3"/>
    <x v="0"/>
    <n v="0"/>
    <n v="0"/>
    <s v=""/>
    <n v="1"/>
    <n v="1"/>
    <n v="2"/>
    <x v="1"/>
    <n v="1"/>
    <x v="0"/>
    <n v="7.41"/>
  </r>
  <r>
    <s v="T1494"/>
    <x v="3"/>
    <d v="2026-09-02T00:00:00"/>
    <d v="1899-12-30T16:00:00"/>
    <n v="147"/>
    <n v="143"/>
    <n v="6"/>
    <s v="Corridor North"/>
    <n v="18.5"/>
    <n v="22"/>
    <x v="3"/>
    <x v="6"/>
    <n v="0"/>
    <n v="0"/>
    <s v=""/>
    <n v="1"/>
    <n v="1"/>
    <n v="0"/>
    <x v="2"/>
    <n v="0"/>
    <x v="0"/>
    <n v="7.95"/>
  </r>
  <r>
    <s v="T1495"/>
    <x v="4"/>
    <d v="2026-09-12T00:00:00"/>
    <d v="1899-12-30T17:45:00"/>
    <n v="64"/>
    <n v="53"/>
    <n v="4"/>
    <s v="Suburban Link"/>
    <n v="24.8"/>
    <n v="28"/>
    <x v="4"/>
    <x v="1"/>
    <n v="1"/>
    <n v="0"/>
    <s v="Tech Expo"/>
    <n v="1"/>
    <n v="1"/>
    <n v="4"/>
    <x v="1"/>
    <n v="1"/>
    <x v="1"/>
    <n v="2.58"/>
  </r>
  <r>
    <s v="T1496"/>
    <x v="3"/>
    <d v="2026-09-13T00:00:00"/>
    <d v="1899-12-30T15:45:00"/>
    <n v="69"/>
    <n v="75"/>
    <n v="3"/>
    <s v="Corridor North"/>
    <n v="18.5"/>
    <n v="22"/>
    <x v="3"/>
    <x v="2"/>
    <n v="1"/>
    <n v="0"/>
    <s v=""/>
    <n v="1"/>
    <n v="1"/>
    <n v="8"/>
    <x v="17"/>
    <n v="0"/>
    <x v="0"/>
    <n v="3.73"/>
  </r>
  <r>
    <s v="T1497"/>
    <x v="1"/>
    <d v="2026-09-25T00:00:00"/>
    <d v="1899-12-30T22:15:00"/>
    <n v="85"/>
    <n v="78"/>
    <n v="6"/>
    <s v="Airport Express"/>
    <n v="32"/>
    <n v="14"/>
    <x v="1"/>
    <x v="3"/>
    <n v="0"/>
    <n v="0"/>
    <s v=""/>
    <n v="1"/>
    <n v="1"/>
    <n v="8"/>
    <x v="11"/>
    <n v="0"/>
    <x v="0"/>
    <n v="2.66"/>
  </r>
  <r>
    <s v="T1498"/>
    <x v="3"/>
    <d v="2026-09-21T00:00:00"/>
    <d v="1899-12-30T15:00:00"/>
    <n v="47"/>
    <n v="41"/>
    <n v="2"/>
    <s v="Corridor North"/>
    <n v="18.5"/>
    <n v="22"/>
    <x v="3"/>
    <x v="5"/>
    <n v="0"/>
    <n v="0"/>
    <s v=""/>
    <n v="1"/>
    <n v="1"/>
    <n v="7"/>
    <x v="17"/>
    <n v="0"/>
    <x v="0"/>
    <n v="2.54"/>
  </r>
  <r>
    <s v="T1499"/>
    <x v="4"/>
    <d v="2026-09-07T00:00:00"/>
    <d v="1899-12-30T08:15:00"/>
    <n v="131"/>
    <n v="132"/>
    <n v="4"/>
    <s v="Suburban Link"/>
    <n v="24.8"/>
    <n v="28"/>
    <x v="4"/>
    <x v="5"/>
    <n v="0"/>
    <n v="0"/>
    <s v=""/>
    <n v="1"/>
    <n v="1"/>
    <n v="0"/>
    <x v="13"/>
    <n v="1"/>
    <x v="0"/>
    <n v="5.28"/>
  </r>
  <r>
    <s v="T1500"/>
    <x v="0"/>
    <d v="2026-09-10T00:00:00"/>
    <d v="1899-12-30T05:30:00"/>
    <n v="100"/>
    <n v="98"/>
    <n v="5"/>
    <s v="Tech Park Shuttle"/>
    <n v="15"/>
    <n v="16"/>
    <x v="0"/>
    <x v="4"/>
    <n v="0"/>
    <n v="0"/>
    <s v=""/>
    <n v="1"/>
    <n v="1"/>
    <n v="13"/>
    <x v="16"/>
    <n v="0"/>
    <x v="0"/>
    <n v="6.67"/>
  </r>
  <r>
    <s v="T1501"/>
    <x v="4"/>
    <d v="2026-09-13T00:00:00"/>
    <d v="1899-12-30T11:15:00"/>
    <n v="146"/>
    <n v="148"/>
    <n v="7"/>
    <s v="Suburban Link"/>
    <n v="24.8"/>
    <n v="28"/>
    <x v="4"/>
    <x v="2"/>
    <n v="1"/>
    <n v="0"/>
    <s v=""/>
    <n v="1"/>
    <n v="1"/>
    <n v="9"/>
    <x v="9"/>
    <n v="0"/>
    <x v="0"/>
    <n v="5.89"/>
  </r>
  <r>
    <s v="T1502"/>
    <x v="1"/>
    <d v="2026-09-17T00:00:00"/>
    <d v="1899-12-30T19:15:00"/>
    <n v="110"/>
    <n v="111"/>
    <n v="6"/>
    <s v="Airport Express"/>
    <n v="32"/>
    <n v="14"/>
    <x v="1"/>
    <x v="4"/>
    <n v="0"/>
    <n v="0"/>
    <s v=""/>
    <n v="1"/>
    <n v="1"/>
    <n v="0"/>
    <x v="8"/>
    <n v="1"/>
    <x v="0"/>
    <n v="3.44"/>
  </r>
  <r>
    <s v="T1503"/>
    <x v="1"/>
    <d v="2026-09-26T00:00:00"/>
    <d v="1899-12-30T15:45:00"/>
    <n v="118"/>
    <n v="112"/>
    <n v="4"/>
    <s v="Airport Express"/>
    <n v="32"/>
    <n v="14"/>
    <x v="1"/>
    <x v="1"/>
    <n v="1"/>
    <n v="0"/>
    <s v=""/>
    <n v="1"/>
    <n v="1"/>
    <n v="5"/>
    <x v="17"/>
    <n v="0"/>
    <x v="0"/>
    <n v="3.69"/>
  </r>
  <r>
    <s v="T1504"/>
    <x v="2"/>
    <d v="2026-09-21T00:00:00"/>
    <d v="1899-12-30T19:45:00"/>
    <n v="58"/>
    <n v="68"/>
    <n v="4"/>
    <s v="Downtown Loop"/>
    <n v="12.2"/>
    <n v="18"/>
    <x v="2"/>
    <x v="5"/>
    <n v="0"/>
    <n v="0"/>
    <s v=""/>
    <n v="1"/>
    <n v="1"/>
    <n v="6"/>
    <x v="8"/>
    <n v="1"/>
    <x v="0"/>
    <n v="4.75"/>
  </r>
  <r>
    <s v="T1505"/>
    <x v="3"/>
    <d v="2026-09-28T00:00:00"/>
    <d v="1899-12-30T11:00:00"/>
    <n v="173"/>
    <n v="173"/>
    <n v="7"/>
    <s v="Corridor North"/>
    <n v="18.5"/>
    <n v="22"/>
    <x v="3"/>
    <x v="5"/>
    <n v="0"/>
    <n v="0"/>
    <s v=""/>
    <n v="1"/>
    <n v="1"/>
    <n v="7"/>
    <x v="9"/>
    <n v="0"/>
    <x v="0"/>
    <n v="9.35"/>
  </r>
  <r>
    <s v="T1506"/>
    <x v="2"/>
    <d v="2026-09-30T00:00:00"/>
    <d v="1899-12-30T14:15:00"/>
    <n v="141"/>
    <n v="137"/>
    <n v="7"/>
    <s v="Downtown Loop"/>
    <n v="12.2"/>
    <n v="18"/>
    <x v="2"/>
    <x v="6"/>
    <n v="0"/>
    <n v="0"/>
    <s v=""/>
    <n v="1"/>
    <n v="1"/>
    <n v="15"/>
    <x v="7"/>
    <n v="0"/>
    <x v="0"/>
    <n v="11.56"/>
  </r>
  <r>
    <s v="T1507"/>
    <x v="1"/>
    <d v="2026-09-26T00:00:00"/>
    <d v="1899-12-30T16:45:00"/>
    <n v="151"/>
    <n v="137"/>
    <n v="7"/>
    <s v="Airport Express"/>
    <n v="32"/>
    <n v="14"/>
    <x v="1"/>
    <x v="1"/>
    <n v="1"/>
    <n v="0"/>
    <s v=""/>
    <n v="1"/>
    <n v="1"/>
    <n v="2"/>
    <x v="2"/>
    <n v="0"/>
    <x v="0"/>
    <n v="4.72"/>
  </r>
  <r>
    <s v="T1508"/>
    <x v="1"/>
    <d v="2026-09-14T00:00:00"/>
    <d v="1899-12-30T18:00:00"/>
    <n v="83"/>
    <n v="84"/>
    <n v="5"/>
    <s v="Airport Express"/>
    <n v="32"/>
    <n v="14"/>
    <x v="1"/>
    <x v="5"/>
    <n v="0"/>
    <n v="0"/>
    <s v=""/>
    <n v="1"/>
    <n v="1"/>
    <n v="4"/>
    <x v="0"/>
    <n v="1"/>
    <x v="0"/>
    <n v="2.59"/>
  </r>
  <r>
    <s v="T1509"/>
    <x v="1"/>
    <d v="2026-09-02T00:00:00"/>
    <d v="1899-12-30T09:15:00"/>
    <n v="106"/>
    <n v="109"/>
    <n v="6"/>
    <s v="Airport Express"/>
    <n v="32"/>
    <n v="14"/>
    <x v="1"/>
    <x v="6"/>
    <n v="0"/>
    <n v="0"/>
    <s v=""/>
    <n v="1"/>
    <n v="1"/>
    <n v="1"/>
    <x v="4"/>
    <n v="1"/>
    <x v="0"/>
    <n v="3.31"/>
  </r>
  <r>
    <s v="T1510"/>
    <x v="2"/>
    <d v="2026-09-28T00:00:00"/>
    <d v="1899-12-30T22:00:00"/>
    <n v="166"/>
    <n v="154"/>
    <n v="6"/>
    <s v="Downtown Loop"/>
    <n v="12.2"/>
    <n v="18"/>
    <x v="2"/>
    <x v="5"/>
    <n v="0"/>
    <n v="0"/>
    <s v=""/>
    <n v="1"/>
    <n v="1"/>
    <n v="4"/>
    <x v="11"/>
    <n v="0"/>
    <x v="0"/>
    <n v="13.61"/>
  </r>
  <r>
    <s v="T1511"/>
    <x v="0"/>
    <d v="2026-09-22T00:00:00"/>
    <d v="1899-12-30T07:30:00"/>
    <n v="93"/>
    <n v="94"/>
    <n v="3"/>
    <s v="Tech Park Shuttle"/>
    <n v="15"/>
    <n v="16"/>
    <x v="0"/>
    <x v="0"/>
    <n v="0"/>
    <n v="0"/>
    <s v=""/>
    <n v="1"/>
    <n v="1"/>
    <n v="3"/>
    <x v="6"/>
    <n v="0"/>
    <x v="0"/>
    <n v="6.2"/>
  </r>
  <r>
    <s v="T1512"/>
    <x v="1"/>
    <d v="2026-09-11T00:00:00"/>
    <d v="1899-12-30T09:45:00"/>
    <n v="102"/>
    <n v="106"/>
    <n v="5"/>
    <s v="Airport Express"/>
    <n v="32"/>
    <n v="14"/>
    <x v="1"/>
    <x v="3"/>
    <n v="0"/>
    <n v="0"/>
    <s v=""/>
    <n v="1"/>
    <n v="1"/>
    <n v="4"/>
    <x v="4"/>
    <n v="1"/>
    <x v="0"/>
    <n v="3.19"/>
  </r>
  <r>
    <s v="T1513"/>
    <x v="4"/>
    <d v="2026-09-01T00:00:00"/>
    <d v="1899-12-30T21:30:00"/>
    <n v="81"/>
    <n v="83"/>
    <n v="3"/>
    <s v="Suburban Link"/>
    <n v="24.8"/>
    <n v="28"/>
    <x v="4"/>
    <x v="0"/>
    <n v="0"/>
    <n v="0"/>
    <s v=""/>
    <n v="1"/>
    <n v="1"/>
    <n v="18"/>
    <x v="10"/>
    <n v="0"/>
    <x v="0"/>
    <n v="3.27"/>
  </r>
  <r>
    <s v="T1514"/>
    <x v="2"/>
    <d v="2026-09-19T00:00:00"/>
    <d v="1899-12-30T16:00:00"/>
    <n v="45"/>
    <n v="43"/>
    <n v="3"/>
    <s v="Downtown Loop"/>
    <n v="12.2"/>
    <n v="18"/>
    <x v="2"/>
    <x v="1"/>
    <n v="1"/>
    <n v="1"/>
    <s v=""/>
    <n v="1"/>
    <n v="1"/>
    <n v="2"/>
    <x v="2"/>
    <n v="0"/>
    <x v="0"/>
    <n v="3.69"/>
  </r>
  <r>
    <s v="T1515"/>
    <x v="1"/>
    <d v="2026-09-21T00:00:00"/>
    <d v="1899-12-30T13:00:00"/>
    <n v="183"/>
    <n v="170"/>
    <n v="5"/>
    <s v="Airport Express"/>
    <n v="32"/>
    <n v="14"/>
    <x v="1"/>
    <x v="5"/>
    <n v="0"/>
    <n v="0"/>
    <s v=""/>
    <n v="1"/>
    <n v="1"/>
    <n v="4"/>
    <x v="5"/>
    <n v="0"/>
    <x v="0"/>
    <n v="5.72"/>
  </r>
  <r>
    <s v="T1516"/>
    <x v="4"/>
    <d v="2026-09-04T00:00:00"/>
    <d v="1899-12-30T22:00:00"/>
    <n v="73"/>
    <n v="67"/>
    <n v="6"/>
    <s v="Suburban Link"/>
    <n v="24.8"/>
    <n v="28"/>
    <x v="4"/>
    <x v="3"/>
    <n v="0"/>
    <n v="0"/>
    <s v=""/>
    <n v="1"/>
    <n v="1"/>
    <n v="7"/>
    <x v="11"/>
    <n v="0"/>
    <x v="0"/>
    <n v="2.94"/>
  </r>
  <r>
    <s v="T1517"/>
    <x v="0"/>
    <d v="2026-09-19T00:00:00"/>
    <d v="1899-12-30T08:30:00"/>
    <n v="75"/>
    <n v="80"/>
    <n v="4"/>
    <s v="Tech Park Shuttle"/>
    <n v="15"/>
    <n v="16"/>
    <x v="0"/>
    <x v="1"/>
    <n v="1"/>
    <n v="1"/>
    <s v=""/>
    <n v="1"/>
    <n v="1"/>
    <n v="3"/>
    <x v="13"/>
    <n v="1"/>
    <x v="0"/>
    <n v="5"/>
  </r>
  <r>
    <s v="T1518"/>
    <x v="1"/>
    <d v="2026-09-26T00:00:00"/>
    <d v="1899-12-30T14:00:00"/>
    <n v="97"/>
    <n v="104"/>
    <n v="6"/>
    <s v="Airport Express"/>
    <n v="32"/>
    <n v="14"/>
    <x v="1"/>
    <x v="1"/>
    <n v="1"/>
    <n v="0"/>
    <s v=""/>
    <n v="1"/>
    <n v="1"/>
    <n v="6"/>
    <x v="7"/>
    <n v="0"/>
    <x v="0"/>
    <n v="3.03"/>
  </r>
  <r>
    <s v="T1519"/>
    <x v="0"/>
    <d v="2026-09-29T00:00:00"/>
    <d v="1899-12-30T11:15:00"/>
    <n v="148"/>
    <n v="146"/>
    <n v="4"/>
    <s v="Tech Park Shuttle"/>
    <n v="15"/>
    <n v="16"/>
    <x v="0"/>
    <x v="0"/>
    <n v="0"/>
    <n v="0"/>
    <s v=""/>
    <n v="1"/>
    <n v="1"/>
    <n v="1"/>
    <x v="9"/>
    <n v="0"/>
    <x v="0"/>
    <n v="9.8699999999999992"/>
  </r>
  <r>
    <s v="T1520"/>
    <x v="1"/>
    <d v="2026-09-21T00:00:00"/>
    <d v="1899-12-30T05:00:00"/>
    <n v="90"/>
    <n v="102"/>
    <n v="4"/>
    <s v="Airport Express"/>
    <n v="32"/>
    <n v="14"/>
    <x v="1"/>
    <x v="5"/>
    <n v="0"/>
    <n v="0"/>
    <s v=""/>
    <n v="1"/>
    <n v="1"/>
    <n v="4"/>
    <x v="16"/>
    <n v="0"/>
    <x v="0"/>
    <n v="2.81"/>
  </r>
  <r>
    <s v="T1521"/>
    <x v="2"/>
    <d v="2026-09-11T00:00:00"/>
    <d v="1899-12-30T06:45:00"/>
    <n v="91"/>
    <n v="83"/>
    <n v="3"/>
    <s v="Downtown Loop"/>
    <n v="12.2"/>
    <n v="18"/>
    <x v="2"/>
    <x v="3"/>
    <n v="0"/>
    <n v="0"/>
    <s v=""/>
    <n v="1"/>
    <n v="1"/>
    <n v="6"/>
    <x v="12"/>
    <n v="0"/>
    <x v="0"/>
    <n v="7.46"/>
  </r>
  <r>
    <s v="T1522"/>
    <x v="3"/>
    <d v="2026-09-08T00:00:00"/>
    <d v="1899-12-30T15:00:00"/>
    <n v="24"/>
    <n v="27"/>
    <n v="3"/>
    <s v="Corridor North"/>
    <n v="18.5"/>
    <n v="22"/>
    <x v="3"/>
    <x v="0"/>
    <n v="0"/>
    <n v="0"/>
    <s v=""/>
    <n v="1"/>
    <n v="1"/>
    <n v="4"/>
    <x v="17"/>
    <n v="0"/>
    <x v="0"/>
    <n v="1.3"/>
  </r>
  <r>
    <s v="T1523"/>
    <x v="1"/>
    <d v="2026-09-11T00:00:00"/>
    <d v="1899-12-30T11:15:00"/>
    <n v="79"/>
    <n v="86"/>
    <n v="5"/>
    <s v="Airport Express"/>
    <n v="32"/>
    <n v="14"/>
    <x v="1"/>
    <x v="3"/>
    <n v="0"/>
    <n v="0"/>
    <s v=""/>
    <n v="1"/>
    <n v="1"/>
    <n v="1"/>
    <x v="9"/>
    <n v="0"/>
    <x v="0"/>
    <n v="2.4700000000000002"/>
  </r>
  <r>
    <s v="T1524"/>
    <x v="3"/>
    <d v="2026-09-04T00:00:00"/>
    <d v="1899-12-30T21:00:00"/>
    <n v="90"/>
    <n v="84"/>
    <n v="5"/>
    <s v="Corridor North"/>
    <n v="18.5"/>
    <n v="22"/>
    <x v="3"/>
    <x v="3"/>
    <n v="0"/>
    <n v="0"/>
    <s v=""/>
    <n v="1"/>
    <n v="1"/>
    <n v="4"/>
    <x v="10"/>
    <n v="0"/>
    <x v="0"/>
    <n v="4.8600000000000003"/>
  </r>
  <r>
    <s v="T1525"/>
    <x v="4"/>
    <d v="2026-09-17T00:00:00"/>
    <d v="1899-12-30T06:15:00"/>
    <n v="108"/>
    <n v="110"/>
    <n v="4"/>
    <s v="Suburban Link"/>
    <n v="24.8"/>
    <n v="28"/>
    <x v="4"/>
    <x v="4"/>
    <n v="0"/>
    <n v="0"/>
    <s v=""/>
    <n v="1"/>
    <n v="1"/>
    <n v="0"/>
    <x v="12"/>
    <n v="0"/>
    <x v="0"/>
    <n v="4.3499999999999996"/>
  </r>
  <r>
    <s v="T1526"/>
    <x v="1"/>
    <d v="2026-09-27T00:00:00"/>
    <d v="1899-12-30T18:15:00"/>
    <n v="48"/>
    <n v="52"/>
    <n v="3"/>
    <s v="Airport Express"/>
    <n v="32"/>
    <n v="14"/>
    <x v="1"/>
    <x v="2"/>
    <n v="1"/>
    <n v="0"/>
    <s v="Music Fest"/>
    <n v="1"/>
    <n v="1"/>
    <n v="5"/>
    <x v="0"/>
    <n v="1"/>
    <x v="1"/>
    <n v="1.5"/>
  </r>
  <r>
    <s v="T1527"/>
    <x v="3"/>
    <d v="2026-09-07T00:00:00"/>
    <d v="1899-12-30T06:00:00"/>
    <n v="153"/>
    <n v="152"/>
    <n v="6"/>
    <s v="Corridor North"/>
    <n v="18.5"/>
    <n v="22"/>
    <x v="3"/>
    <x v="5"/>
    <n v="0"/>
    <n v="0"/>
    <s v=""/>
    <n v="1"/>
    <n v="1"/>
    <n v="7"/>
    <x v="12"/>
    <n v="0"/>
    <x v="0"/>
    <n v="8.27"/>
  </r>
  <r>
    <s v="T1528"/>
    <x v="0"/>
    <d v="2026-09-08T00:00:00"/>
    <d v="1899-12-30T14:00:00"/>
    <n v="156"/>
    <n v="155"/>
    <n v="5"/>
    <s v="Tech Park Shuttle"/>
    <n v="15"/>
    <n v="16"/>
    <x v="0"/>
    <x v="0"/>
    <n v="0"/>
    <n v="0"/>
    <s v=""/>
    <n v="1"/>
    <n v="1"/>
    <n v="7"/>
    <x v="7"/>
    <n v="0"/>
    <x v="0"/>
    <n v="10.4"/>
  </r>
  <r>
    <s v="T1529"/>
    <x v="1"/>
    <d v="2026-09-03T00:00:00"/>
    <d v="1899-12-30T09:15:00"/>
    <n v="92"/>
    <n v="78"/>
    <n v="3"/>
    <s v="Airport Express"/>
    <n v="32"/>
    <n v="14"/>
    <x v="1"/>
    <x v="4"/>
    <n v="0"/>
    <n v="0"/>
    <s v=""/>
    <n v="1"/>
    <n v="1"/>
    <n v="1"/>
    <x v="4"/>
    <n v="1"/>
    <x v="0"/>
    <n v="2.88"/>
  </r>
  <r>
    <s v="T1530"/>
    <x v="1"/>
    <d v="2026-09-22T00:00:00"/>
    <d v="1899-12-30T20:00:00"/>
    <n v="106"/>
    <n v="102"/>
    <n v="5"/>
    <s v="Airport Express"/>
    <n v="32"/>
    <n v="14"/>
    <x v="1"/>
    <x v="0"/>
    <n v="0"/>
    <n v="0"/>
    <s v=""/>
    <n v="1"/>
    <n v="1"/>
    <n v="5"/>
    <x v="15"/>
    <n v="0"/>
    <x v="0"/>
    <n v="3.31"/>
  </r>
  <r>
    <s v="T1531"/>
    <x v="3"/>
    <d v="2026-09-02T00:00:00"/>
    <d v="1899-12-30T06:15:00"/>
    <n v="115"/>
    <n v="107"/>
    <n v="5"/>
    <s v="Corridor North"/>
    <n v="18.5"/>
    <n v="22"/>
    <x v="3"/>
    <x v="6"/>
    <n v="0"/>
    <n v="0"/>
    <s v=""/>
    <n v="1"/>
    <n v="1"/>
    <n v="4"/>
    <x v="12"/>
    <n v="0"/>
    <x v="0"/>
    <n v="6.22"/>
  </r>
  <r>
    <s v="T1532"/>
    <x v="0"/>
    <d v="2026-09-23T00:00:00"/>
    <d v="1899-12-30T06:45:00"/>
    <n v="121"/>
    <n v="117"/>
    <n v="5"/>
    <s v="Tech Park Shuttle"/>
    <n v="15"/>
    <n v="16"/>
    <x v="0"/>
    <x v="6"/>
    <n v="0"/>
    <n v="0"/>
    <s v=""/>
    <n v="1"/>
    <n v="1"/>
    <n v="4"/>
    <x v="12"/>
    <n v="0"/>
    <x v="0"/>
    <n v="8.07"/>
  </r>
  <r>
    <s v="T1533"/>
    <x v="3"/>
    <d v="2026-09-15T00:00:00"/>
    <d v="1899-12-30T20:30:00"/>
    <n v="157"/>
    <n v="163"/>
    <n v="7"/>
    <s v="Corridor North"/>
    <n v="18.5"/>
    <n v="22"/>
    <x v="3"/>
    <x v="0"/>
    <n v="0"/>
    <n v="0"/>
    <s v=""/>
    <n v="1"/>
    <n v="1"/>
    <n v="16"/>
    <x v="15"/>
    <n v="0"/>
    <x v="0"/>
    <n v="8.49"/>
  </r>
  <r>
    <s v="T1534"/>
    <x v="2"/>
    <d v="2026-09-24T00:00:00"/>
    <d v="1899-12-30T11:15:00"/>
    <n v="153"/>
    <n v="157"/>
    <n v="7"/>
    <s v="Downtown Loop"/>
    <n v="12.2"/>
    <n v="18"/>
    <x v="2"/>
    <x v="4"/>
    <n v="0"/>
    <n v="0"/>
    <s v=""/>
    <n v="1"/>
    <n v="1"/>
    <n v="20"/>
    <x v="9"/>
    <n v="0"/>
    <x v="0"/>
    <n v="12.54"/>
  </r>
  <r>
    <s v="T1535"/>
    <x v="3"/>
    <d v="2026-09-22T00:00:00"/>
    <d v="1899-12-30T16:45:00"/>
    <n v="177"/>
    <n v="175"/>
    <n v="5"/>
    <s v="Corridor North"/>
    <n v="18.5"/>
    <n v="22"/>
    <x v="3"/>
    <x v="0"/>
    <n v="0"/>
    <n v="0"/>
    <s v=""/>
    <n v="1"/>
    <n v="1"/>
    <n v="0"/>
    <x v="2"/>
    <n v="0"/>
    <x v="0"/>
    <n v="9.57"/>
  </r>
  <r>
    <s v="T1536"/>
    <x v="2"/>
    <d v="2026-09-22T00:00:00"/>
    <d v="1899-12-30T19:45:00"/>
    <n v="93"/>
    <n v="99"/>
    <n v="4"/>
    <s v="Downtown Loop"/>
    <n v="12.2"/>
    <n v="18"/>
    <x v="2"/>
    <x v="0"/>
    <n v="0"/>
    <n v="0"/>
    <s v=""/>
    <n v="1"/>
    <n v="1"/>
    <n v="4"/>
    <x v="8"/>
    <n v="1"/>
    <x v="0"/>
    <n v="7.62"/>
  </r>
  <r>
    <s v="T1537"/>
    <x v="4"/>
    <d v="2026-09-05T00:00:00"/>
    <d v="1899-12-30T10:45:00"/>
    <n v="151"/>
    <n v="141"/>
    <n v="4"/>
    <s v="Suburban Link"/>
    <n v="24.8"/>
    <n v="28"/>
    <x v="4"/>
    <x v="1"/>
    <n v="1"/>
    <n v="1"/>
    <s v=""/>
    <n v="1"/>
    <n v="1"/>
    <n v="4"/>
    <x v="3"/>
    <n v="1"/>
    <x v="0"/>
    <n v="6.09"/>
  </r>
  <r>
    <s v="T1538"/>
    <x v="0"/>
    <d v="2026-09-24T00:00:00"/>
    <d v="1899-12-30T14:30:00"/>
    <n v="87"/>
    <n v="84"/>
    <n v="3"/>
    <s v="Tech Park Shuttle"/>
    <n v="15"/>
    <n v="16"/>
    <x v="0"/>
    <x v="4"/>
    <n v="0"/>
    <n v="0"/>
    <s v=""/>
    <n v="1"/>
    <n v="1"/>
    <n v="0"/>
    <x v="7"/>
    <n v="0"/>
    <x v="0"/>
    <n v="5.8"/>
  </r>
  <r>
    <s v="T1539"/>
    <x v="0"/>
    <d v="2026-09-01T00:00:00"/>
    <d v="1899-12-30T21:45:00"/>
    <n v="213"/>
    <n v="205"/>
    <n v="6"/>
    <s v="Tech Park Shuttle"/>
    <n v="15"/>
    <n v="16"/>
    <x v="0"/>
    <x v="0"/>
    <n v="0"/>
    <n v="0"/>
    <s v=""/>
    <n v="1"/>
    <n v="1"/>
    <n v="2"/>
    <x v="10"/>
    <n v="0"/>
    <x v="0"/>
    <n v="14.2"/>
  </r>
  <r>
    <s v="T1540"/>
    <x v="3"/>
    <d v="2026-09-26T00:00:00"/>
    <d v="1899-12-30T11:00:00"/>
    <n v="73"/>
    <n v="68"/>
    <n v="3"/>
    <s v="Corridor North"/>
    <n v="18.5"/>
    <n v="22"/>
    <x v="3"/>
    <x v="1"/>
    <n v="1"/>
    <n v="0"/>
    <s v=""/>
    <n v="1"/>
    <n v="1"/>
    <n v="2"/>
    <x v="9"/>
    <n v="0"/>
    <x v="0"/>
    <n v="3.95"/>
  </r>
  <r>
    <s v="T1541"/>
    <x v="1"/>
    <d v="2026-09-04T00:00:00"/>
    <d v="1899-12-30T08:15:00"/>
    <n v="80"/>
    <n v="82"/>
    <n v="3"/>
    <s v="Airport Express"/>
    <n v="32"/>
    <n v="14"/>
    <x v="1"/>
    <x v="3"/>
    <n v="0"/>
    <n v="0"/>
    <s v=""/>
    <n v="1"/>
    <n v="1"/>
    <n v="2"/>
    <x v="13"/>
    <n v="1"/>
    <x v="0"/>
    <n v="2.5"/>
  </r>
  <r>
    <s v="T1542"/>
    <x v="2"/>
    <d v="2026-09-15T00:00:00"/>
    <d v="1899-12-30T19:45:00"/>
    <n v="129"/>
    <n v="124"/>
    <n v="5"/>
    <s v="Downtown Loop"/>
    <n v="12.2"/>
    <n v="18"/>
    <x v="2"/>
    <x v="0"/>
    <n v="0"/>
    <n v="0"/>
    <s v=""/>
    <n v="1"/>
    <n v="1"/>
    <n v="1"/>
    <x v="8"/>
    <n v="1"/>
    <x v="0"/>
    <n v="10.57"/>
  </r>
  <r>
    <s v="T1543"/>
    <x v="3"/>
    <d v="2026-09-20T00:00:00"/>
    <d v="1899-12-30T12:00:00"/>
    <n v="140"/>
    <n v="146"/>
    <n v="5"/>
    <s v="Corridor North"/>
    <n v="18.5"/>
    <n v="22"/>
    <x v="3"/>
    <x v="2"/>
    <n v="1"/>
    <n v="0"/>
    <s v="Marathon"/>
    <n v="1"/>
    <n v="1"/>
    <n v="22"/>
    <x v="14"/>
    <n v="0"/>
    <x v="1"/>
    <n v="7.57"/>
  </r>
  <r>
    <s v="T1544"/>
    <x v="3"/>
    <d v="2026-09-19T00:00:00"/>
    <d v="1899-12-30T19:15:00"/>
    <n v="41"/>
    <n v="40"/>
    <n v="3"/>
    <s v="Corridor North"/>
    <n v="18.5"/>
    <n v="22"/>
    <x v="3"/>
    <x v="1"/>
    <n v="1"/>
    <n v="1"/>
    <s v=""/>
    <n v="1"/>
    <n v="1"/>
    <n v="16"/>
    <x v="8"/>
    <n v="1"/>
    <x v="0"/>
    <n v="2.2200000000000002"/>
  </r>
  <r>
    <s v="T1545"/>
    <x v="3"/>
    <d v="2026-09-03T00:00:00"/>
    <d v="1899-12-30T18:30:00"/>
    <n v="134"/>
    <n v="138"/>
    <n v="6"/>
    <s v="Corridor North"/>
    <n v="18.5"/>
    <n v="22"/>
    <x v="3"/>
    <x v="4"/>
    <n v="0"/>
    <n v="0"/>
    <s v=""/>
    <n v="1"/>
    <n v="1"/>
    <n v="5"/>
    <x v="0"/>
    <n v="1"/>
    <x v="0"/>
    <n v="7.24"/>
  </r>
  <r>
    <s v="T1546"/>
    <x v="3"/>
    <d v="2026-09-20T00:00:00"/>
    <d v="1899-12-30T13:45:00"/>
    <n v="46"/>
    <n v="50"/>
    <n v="3"/>
    <s v="Corridor North"/>
    <n v="18.5"/>
    <n v="22"/>
    <x v="3"/>
    <x v="2"/>
    <n v="1"/>
    <n v="0"/>
    <s v="Marathon"/>
    <n v="1"/>
    <n v="1"/>
    <n v="5"/>
    <x v="5"/>
    <n v="0"/>
    <x v="1"/>
    <n v="2.4900000000000002"/>
  </r>
  <r>
    <s v="T1547"/>
    <x v="0"/>
    <d v="2026-09-11T00:00:00"/>
    <d v="1899-12-30T21:30:00"/>
    <n v="72"/>
    <n v="73"/>
    <n v="3"/>
    <s v="Tech Park Shuttle"/>
    <n v="15"/>
    <n v="16"/>
    <x v="0"/>
    <x v="3"/>
    <n v="0"/>
    <n v="0"/>
    <s v=""/>
    <n v="1"/>
    <n v="1"/>
    <n v="1"/>
    <x v="10"/>
    <n v="0"/>
    <x v="0"/>
    <n v="4.8"/>
  </r>
  <r>
    <s v="T1548"/>
    <x v="3"/>
    <d v="2026-09-17T00:00:00"/>
    <d v="1899-12-30T06:00:00"/>
    <n v="75"/>
    <n v="68"/>
    <n v="3"/>
    <s v="Corridor North"/>
    <n v="18.5"/>
    <n v="22"/>
    <x v="3"/>
    <x v="4"/>
    <n v="0"/>
    <n v="0"/>
    <s v=""/>
    <n v="1"/>
    <n v="1"/>
    <n v="5"/>
    <x v="12"/>
    <n v="0"/>
    <x v="0"/>
    <n v="4.05"/>
  </r>
  <r>
    <s v="T1549"/>
    <x v="4"/>
    <d v="2026-09-30T00:00:00"/>
    <d v="1899-12-30T07:45:00"/>
    <n v="76"/>
    <n v="78"/>
    <n v="4"/>
    <s v="Suburban Link"/>
    <n v="24.8"/>
    <n v="28"/>
    <x v="4"/>
    <x v="6"/>
    <n v="0"/>
    <n v="0"/>
    <s v=""/>
    <n v="1"/>
    <n v="1"/>
    <n v="4"/>
    <x v="6"/>
    <n v="0"/>
    <x v="0"/>
    <n v="3.06"/>
  </r>
  <r>
    <s v="T1550"/>
    <x v="4"/>
    <d v="2026-09-27T00:00:00"/>
    <d v="1899-12-30T16:00:00"/>
    <n v="88"/>
    <n v="88"/>
    <n v="3"/>
    <s v="Suburban Link"/>
    <n v="24.8"/>
    <n v="28"/>
    <x v="4"/>
    <x v="2"/>
    <n v="1"/>
    <n v="0"/>
    <s v="Music Fest"/>
    <n v="1"/>
    <n v="1"/>
    <n v="11"/>
    <x v="2"/>
    <n v="0"/>
    <x v="1"/>
    <n v="3.55"/>
  </r>
  <r>
    <s v="T1551"/>
    <x v="3"/>
    <d v="2026-09-13T00:00:00"/>
    <d v="1899-12-30T14:45:00"/>
    <n v="210"/>
    <n v="218"/>
    <n v="7"/>
    <s v="Corridor North"/>
    <n v="18.5"/>
    <n v="22"/>
    <x v="3"/>
    <x v="2"/>
    <n v="1"/>
    <n v="0"/>
    <s v=""/>
    <n v="1"/>
    <n v="1"/>
    <n v="4"/>
    <x v="7"/>
    <n v="0"/>
    <x v="0"/>
    <n v="11.35"/>
  </r>
  <r>
    <s v="T1552"/>
    <x v="2"/>
    <d v="2026-09-11T00:00:00"/>
    <d v="1899-12-30T07:15:00"/>
    <n v="95"/>
    <n v="96"/>
    <n v="4"/>
    <s v="Downtown Loop"/>
    <n v="12.2"/>
    <n v="18"/>
    <x v="2"/>
    <x v="3"/>
    <n v="0"/>
    <n v="0"/>
    <s v=""/>
    <n v="1"/>
    <n v="1"/>
    <n v="9"/>
    <x v="6"/>
    <n v="0"/>
    <x v="0"/>
    <n v="7.79"/>
  </r>
  <r>
    <s v="T1553"/>
    <x v="2"/>
    <d v="2026-09-02T00:00:00"/>
    <d v="1899-12-30T11:45:00"/>
    <n v="162"/>
    <n v="158"/>
    <n v="7"/>
    <s v="Downtown Loop"/>
    <n v="12.2"/>
    <n v="18"/>
    <x v="2"/>
    <x v="6"/>
    <n v="0"/>
    <n v="0"/>
    <s v=""/>
    <n v="1"/>
    <n v="1"/>
    <n v="18"/>
    <x v="9"/>
    <n v="0"/>
    <x v="0"/>
    <n v="13.28"/>
  </r>
  <r>
    <s v="T1554"/>
    <x v="3"/>
    <d v="2026-09-09T00:00:00"/>
    <d v="1899-12-30T22:30:00"/>
    <n v="54"/>
    <n v="48"/>
    <n v="4"/>
    <s v="Corridor North"/>
    <n v="18.5"/>
    <n v="22"/>
    <x v="3"/>
    <x v="6"/>
    <n v="0"/>
    <n v="0"/>
    <s v=""/>
    <n v="1"/>
    <n v="1"/>
    <n v="14"/>
    <x v="11"/>
    <n v="0"/>
    <x v="0"/>
    <n v="2.92"/>
  </r>
  <r>
    <s v="T1555"/>
    <x v="2"/>
    <d v="2026-09-26T00:00:00"/>
    <d v="1899-12-30T09:30:00"/>
    <n v="100"/>
    <n v="91"/>
    <n v="6"/>
    <s v="Downtown Loop"/>
    <n v="12.2"/>
    <n v="18"/>
    <x v="2"/>
    <x v="1"/>
    <n v="1"/>
    <n v="0"/>
    <s v=""/>
    <n v="1"/>
    <n v="1"/>
    <n v="2"/>
    <x v="4"/>
    <n v="1"/>
    <x v="0"/>
    <n v="8.1999999999999993"/>
  </r>
  <r>
    <s v="T1556"/>
    <x v="0"/>
    <d v="2026-09-02T00:00:00"/>
    <d v="1899-12-30T15:45:00"/>
    <n v="29"/>
    <n v="21"/>
    <n v="3"/>
    <s v="Tech Park Shuttle"/>
    <n v="15"/>
    <n v="16"/>
    <x v="0"/>
    <x v="6"/>
    <n v="0"/>
    <n v="0"/>
    <s v=""/>
    <n v="1"/>
    <n v="1"/>
    <n v="9"/>
    <x v="17"/>
    <n v="0"/>
    <x v="0"/>
    <n v="1.93"/>
  </r>
  <r>
    <s v="T1557"/>
    <x v="0"/>
    <d v="2026-09-21T00:00:00"/>
    <d v="1899-12-30T16:15:00"/>
    <n v="103"/>
    <n v="104"/>
    <n v="5"/>
    <s v="Tech Park Shuttle"/>
    <n v="15"/>
    <n v="16"/>
    <x v="0"/>
    <x v="5"/>
    <n v="0"/>
    <n v="0"/>
    <s v=""/>
    <n v="1"/>
    <n v="1"/>
    <n v="5"/>
    <x v="2"/>
    <n v="0"/>
    <x v="0"/>
    <n v="6.87"/>
  </r>
  <r>
    <s v="T1558"/>
    <x v="2"/>
    <d v="2026-09-09T00:00:00"/>
    <d v="1899-12-30T12:45:00"/>
    <n v="121"/>
    <n v="134"/>
    <n v="7"/>
    <s v="Downtown Loop"/>
    <n v="12.2"/>
    <n v="18"/>
    <x v="2"/>
    <x v="6"/>
    <n v="0"/>
    <n v="0"/>
    <s v=""/>
    <n v="1"/>
    <n v="1"/>
    <n v="0"/>
    <x v="14"/>
    <n v="0"/>
    <x v="0"/>
    <n v="9.92"/>
  </r>
  <r>
    <s v="T1559"/>
    <x v="4"/>
    <d v="2026-09-09T00:00:00"/>
    <d v="1899-12-30T13:45:00"/>
    <n v="79"/>
    <n v="80"/>
    <n v="4"/>
    <s v="Suburban Link"/>
    <n v="24.8"/>
    <n v="28"/>
    <x v="4"/>
    <x v="6"/>
    <n v="0"/>
    <n v="0"/>
    <s v=""/>
    <n v="1"/>
    <n v="1"/>
    <n v="8"/>
    <x v="5"/>
    <n v="0"/>
    <x v="0"/>
    <n v="3.19"/>
  </r>
  <r>
    <s v="T1560"/>
    <x v="2"/>
    <d v="2026-09-08T00:00:00"/>
    <d v="1899-12-30T09:00:00"/>
    <n v="117"/>
    <n v="114"/>
    <n v="4"/>
    <s v="Downtown Loop"/>
    <n v="12.2"/>
    <n v="18"/>
    <x v="2"/>
    <x v="0"/>
    <n v="0"/>
    <n v="0"/>
    <s v=""/>
    <n v="1"/>
    <n v="1"/>
    <n v="4"/>
    <x v="4"/>
    <n v="1"/>
    <x v="0"/>
    <n v="9.59"/>
  </r>
  <r>
    <s v="T1561"/>
    <x v="0"/>
    <d v="2026-09-17T00:00:00"/>
    <d v="1899-12-30T12:30:00"/>
    <n v="102"/>
    <n v="95"/>
    <n v="5"/>
    <s v="Tech Park Shuttle"/>
    <n v="15"/>
    <n v="16"/>
    <x v="0"/>
    <x v="4"/>
    <n v="0"/>
    <n v="0"/>
    <s v=""/>
    <n v="1"/>
    <n v="1"/>
    <n v="4"/>
    <x v="14"/>
    <n v="0"/>
    <x v="0"/>
    <n v="6.8"/>
  </r>
  <r>
    <s v="T1562"/>
    <x v="1"/>
    <d v="2026-09-01T00:00:00"/>
    <d v="1899-12-30T13:30:00"/>
    <n v="101"/>
    <n v="101"/>
    <n v="4"/>
    <s v="Airport Express"/>
    <n v="32"/>
    <n v="14"/>
    <x v="1"/>
    <x v="0"/>
    <n v="0"/>
    <n v="0"/>
    <s v=""/>
    <n v="1"/>
    <n v="1"/>
    <n v="0"/>
    <x v="5"/>
    <n v="0"/>
    <x v="0"/>
    <n v="3.16"/>
  </r>
  <r>
    <s v="T1563"/>
    <x v="1"/>
    <d v="2026-09-25T00:00:00"/>
    <d v="1899-12-30T19:45:00"/>
    <n v="48"/>
    <n v="53"/>
    <n v="2"/>
    <s v="Airport Express"/>
    <n v="32"/>
    <n v="14"/>
    <x v="1"/>
    <x v="3"/>
    <n v="0"/>
    <n v="0"/>
    <s v=""/>
    <n v="1"/>
    <n v="1"/>
    <n v="1"/>
    <x v="8"/>
    <n v="1"/>
    <x v="0"/>
    <n v="1.5"/>
  </r>
  <r>
    <s v="T1564"/>
    <x v="3"/>
    <d v="2026-09-29T00:00:00"/>
    <d v="1899-12-30T18:45:00"/>
    <n v="142"/>
    <n v="141"/>
    <n v="6"/>
    <s v="Corridor North"/>
    <n v="18.5"/>
    <n v="22"/>
    <x v="3"/>
    <x v="0"/>
    <n v="0"/>
    <n v="0"/>
    <s v=""/>
    <n v="1"/>
    <n v="1"/>
    <n v="15"/>
    <x v="0"/>
    <n v="1"/>
    <x v="0"/>
    <n v="7.68"/>
  </r>
  <r>
    <s v="T1565"/>
    <x v="1"/>
    <d v="2026-09-11T00:00:00"/>
    <d v="1899-12-30T22:15:00"/>
    <n v="64"/>
    <n v="63"/>
    <n v="4"/>
    <s v="Airport Express"/>
    <n v="32"/>
    <n v="14"/>
    <x v="1"/>
    <x v="3"/>
    <n v="0"/>
    <n v="0"/>
    <s v=""/>
    <n v="1"/>
    <n v="1"/>
    <n v="8"/>
    <x v="11"/>
    <n v="0"/>
    <x v="0"/>
    <n v="2"/>
  </r>
  <r>
    <s v="T1566"/>
    <x v="2"/>
    <d v="2026-09-08T00:00:00"/>
    <d v="1899-12-30T10:45:00"/>
    <n v="123"/>
    <n v="113"/>
    <n v="5"/>
    <s v="Downtown Loop"/>
    <n v="12.2"/>
    <n v="18"/>
    <x v="2"/>
    <x v="0"/>
    <n v="0"/>
    <n v="0"/>
    <s v=""/>
    <n v="1"/>
    <n v="1"/>
    <n v="2"/>
    <x v="3"/>
    <n v="1"/>
    <x v="0"/>
    <n v="10.08"/>
  </r>
  <r>
    <s v="T1567"/>
    <x v="4"/>
    <d v="2026-09-10T00:00:00"/>
    <d v="1899-12-30T06:30:00"/>
    <n v="143"/>
    <n v="131"/>
    <n v="7"/>
    <s v="Suburban Link"/>
    <n v="24.8"/>
    <n v="28"/>
    <x v="4"/>
    <x v="4"/>
    <n v="0"/>
    <n v="0"/>
    <s v=""/>
    <n v="1"/>
    <n v="1"/>
    <n v="23"/>
    <x v="12"/>
    <n v="0"/>
    <x v="0"/>
    <n v="5.77"/>
  </r>
  <r>
    <s v="T1568"/>
    <x v="3"/>
    <d v="2026-09-25T00:00:00"/>
    <d v="1899-12-30T20:30:00"/>
    <n v="53"/>
    <n v="59"/>
    <n v="4"/>
    <s v="Corridor North"/>
    <n v="18.5"/>
    <n v="22"/>
    <x v="3"/>
    <x v="3"/>
    <n v="0"/>
    <n v="0"/>
    <s v=""/>
    <n v="1"/>
    <n v="1"/>
    <n v="3"/>
    <x v="15"/>
    <n v="0"/>
    <x v="0"/>
    <n v="2.86"/>
  </r>
  <r>
    <s v="T1569"/>
    <x v="2"/>
    <d v="2026-09-07T00:00:00"/>
    <d v="1899-12-30T17:30:00"/>
    <n v="135"/>
    <n v="133"/>
    <n v="5"/>
    <s v="Downtown Loop"/>
    <n v="12.2"/>
    <n v="18"/>
    <x v="2"/>
    <x v="5"/>
    <n v="0"/>
    <n v="0"/>
    <s v=""/>
    <n v="1"/>
    <n v="1"/>
    <n v="13"/>
    <x v="1"/>
    <n v="1"/>
    <x v="0"/>
    <n v="11.07"/>
  </r>
  <r>
    <s v="T1570"/>
    <x v="4"/>
    <d v="2026-09-03T00:00:00"/>
    <d v="1899-12-30T22:30:00"/>
    <n v="189"/>
    <n v="184"/>
    <n v="6"/>
    <s v="Suburban Link"/>
    <n v="24.8"/>
    <n v="28"/>
    <x v="4"/>
    <x v="4"/>
    <n v="0"/>
    <n v="0"/>
    <s v=""/>
    <n v="1"/>
    <n v="1"/>
    <n v="1"/>
    <x v="11"/>
    <n v="0"/>
    <x v="0"/>
    <n v="7.62"/>
  </r>
  <r>
    <s v="T1571"/>
    <x v="1"/>
    <d v="2026-09-03T00:00:00"/>
    <d v="1899-12-30T12:15:00"/>
    <n v="126"/>
    <n v="113"/>
    <n v="6"/>
    <s v="Airport Express"/>
    <n v="32"/>
    <n v="14"/>
    <x v="1"/>
    <x v="4"/>
    <n v="0"/>
    <n v="0"/>
    <s v=""/>
    <n v="1"/>
    <n v="1"/>
    <n v="17"/>
    <x v="14"/>
    <n v="0"/>
    <x v="0"/>
    <n v="3.94"/>
  </r>
  <r>
    <s v="T1572"/>
    <x v="2"/>
    <d v="2026-09-18T00:00:00"/>
    <d v="1899-12-30T05:45:00"/>
    <n v="74"/>
    <n v="71"/>
    <n v="5"/>
    <s v="Downtown Loop"/>
    <n v="12.2"/>
    <n v="18"/>
    <x v="2"/>
    <x v="3"/>
    <n v="0"/>
    <n v="0"/>
    <s v=""/>
    <n v="1"/>
    <n v="1"/>
    <n v="2"/>
    <x v="16"/>
    <n v="0"/>
    <x v="0"/>
    <n v="6.07"/>
  </r>
  <r>
    <s v="T1573"/>
    <x v="0"/>
    <d v="2026-09-05T00:00:00"/>
    <d v="1899-12-30T05:30:00"/>
    <n v="112"/>
    <n v="105"/>
    <n v="5"/>
    <s v="Tech Park Shuttle"/>
    <n v="15"/>
    <n v="16"/>
    <x v="0"/>
    <x v="1"/>
    <n v="1"/>
    <n v="1"/>
    <s v=""/>
    <n v="1"/>
    <n v="1"/>
    <n v="4"/>
    <x v="16"/>
    <n v="0"/>
    <x v="0"/>
    <n v="7.47"/>
  </r>
  <r>
    <s v="T1574"/>
    <x v="3"/>
    <d v="2026-09-12T00:00:00"/>
    <d v="1899-12-30T12:00:00"/>
    <n v="171"/>
    <n v="173"/>
    <n v="6"/>
    <s v="Corridor North"/>
    <n v="18.5"/>
    <n v="22"/>
    <x v="3"/>
    <x v="1"/>
    <n v="1"/>
    <n v="0"/>
    <s v="Tech Expo"/>
    <n v="1"/>
    <n v="1"/>
    <n v="0"/>
    <x v="14"/>
    <n v="0"/>
    <x v="1"/>
    <n v="9.24"/>
  </r>
  <r>
    <s v="T1575"/>
    <x v="4"/>
    <d v="2026-09-12T00:00:00"/>
    <d v="1899-12-30T20:30:00"/>
    <n v="144"/>
    <n v="144"/>
    <n v="6"/>
    <s v="Suburban Link"/>
    <n v="24.8"/>
    <n v="28"/>
    <x v="4"/>
    <x v="1"/>
    <n v="1"/>
    <n v="0"/>
    <s v="Tech Expo"/>
    <n v="1"/>
    <n v="1"/>
    <n v="14"/>
    <x v="15"/>
    <n v="0"/>
    <x v="1"/>
    <n v="5.81"/>
  </r>
  <r>
    <s v="T1576"/>
    <x v="4"/>
    <d v="2026-09-19T00:00:00"/>
    <d v="1899-12-30T09:45:00"/>
    <n v="138"/>
    <n v="139"/>
    <n v="5"/>
    <s v="Suburban Link"/>
    <n v="24.8"/>
    <n v="28"/>
    <x v="4"/>
    <x v="1"/>
    <n v="1"/>
    <n v="1"/>
    <s v=""/>
    <n v="1"/>
    <n v="1"/>
    <n v="8"/>
    <x v="4"/>
    <n v="1"/>
    <x v="0"/>
    <n v="5.56"/>
  </r>
  <r>
    <s v="T1577"/>
    <x v="4"/>
    <d v="2026-09-30T00:00:00"/>
    <d v="1899-12-30T10:15:00"/>
    <n v="219"/>
    <n v="218"/>
    <n v="6"/>
    <s v="Suburban Link"/>
    <n v="24.8"/>
    <n v="28"/>
    <x v="4"/>
    <x v="6"/>
    <n v="0"/>
    <n v="0"/>
    <s v=""/>
    <n v="1"/>
    <n v="1"/>
    <n v="9"/>
    <x v="3"/>
    <n v="1"/>
    <x v="0"/>
    <n v="8.83"/>
  </r>
  <r>
    <s v="T1578"/>
    <x v="1"/>
    <d v="2026-09-06T00:00:00"/>
    <d v="1899-12-30T13:45:00"/>
    <n v="64"/>
    <n v="54"/>
    <n v="6"/>
    <s v="Airport Express"/>
    <n v="32"/>
    <n v="14"/>
    <x v="1"/>
    <x v="2"/>
    <n v="1"/>
    <n v="0"/>
    <s v=""/>
    <n v="1"/>
    <n v="1"/>
    <n v="2"/>
    <x v="5"/>
    <n v="0"/>
    <x v="0"/>
    <n v="2"/>
  </r>
  <r>
    <s v="T1579"/>
    <x v="2"/>
    <d v="2026-09-02T00:00:00"/>
    <d v="1899-12-30T15:15:00"/>
    <n v="171"/>
    <n v="167"/>
    <n v="5"/>
    <s v="Downtown Loop"/>
    <n v="12.2"/>
    <n v="18"/>
    <x v="2"/>
    <x v="6"/>
    <n v="0"/>
    <n v="0"/>
    <s v=""/>
    <n v="1"/>
    <n v="1"/>
    <n v="26"/>
    <x v="17"/>
    <n v="0"/>
    <x v="0"/>
    <n v="14.02"/>
  </r>
  <r>
    <s v="T1580"/>
    <x v="1"/>
    <d v="2026-09-12T00:00:00"/>
    <d v="1899-12-30T20:00:00"/>
    <n v="115"/>
    <n v="112"/>
    <n v="6"/>
    <s v="Airport Express"/>
    <n v="32"/>
    <n v="14"/>
    <x v="1"/>
    <x v="1"/>
    <n v="1"/>
    <n v="0"/>
    <s v="Tech Expo"/>
    <n v="1"/>
    <n v="1"/>
    <n v="3"/>
    <x v="15"/>
    <n v="0"/>
    <x v="1"/>
    <n v="3.59"/>
  </r>
  <r>
    <s v="T1581"/>
    <x v="3"/>
    <d v="2026-09-19T00:00:00"/>
    <d v="1899-12-30T17:30:00"/>
    <n v="180"/>
    <n v="168"/>
    <n v="4"/>
    <s v="Corridor North"/>
    <n v="18.5"/>
    <n v="22"/>
    <x v="3"/>
    <x v="1"/>
    <n v="1"/>
    <n v="1"/>
    <s v=""/>
    <n v="1"/>
    <n v="1"/>
    <n v="2"/>
    <x v="1"/>
    <n v="1"/>
    <x v="0"/>
    <n v="9.73"/>
  </r>
  <r>
    <s v="T1582"/>
    <x v="3"/>
    <d v="2026-09-05T00:00:00"/>
    <d v="1899-12-30T17:15:00"/>
    <n v="29"/>
    <n v="27"/>
    <n v="2"/>
    <s v="Corridor North"/>
    <n v="18.5"/>
    <n v="22"/>
    <x v="3"/>
    <x v="1"/>
    <n v="1"/>
    <n v="1"/>
    <s v=""/>
    <n v="1"/>
    <n v="1"/>
    <n v="4"/>
    <x v="1"/>
    <n v="1"/>
    <x v="0"/>
    <n v="1.57"/>
  </r>
  <r>
    <s v="T1583"/>
    <x v="2"/>
    <d v="2026-09-12T00:00:00"/>
    <d v="1899-12-30T08:45:00"/>
    <n v="120"/>
    <n v="113"/>
    <n v="5"/>
    <s v="Downtown Loop"/>
    <n v="12.2"/>
    <n v="18"/>
    <x v="2"/>
    <x v="1"/>
    <n v="1"/>
    <n v="0"/>
    <s v="Tech Expo"/>
    <n v="1"/>
    <n v="1"/>
    <n v="7"/>
    <x v="13"/>
    <n v="1"/>
    <x v="1"/>
    <n v="9.84"/>
  </r>
  <r>
    <s v="T1584"/>
    <x v="0"/>
    <d v="2026-09-27T00:00:00"/>
    <d v="1899-12-30T10:15:00"/>
    <n v="94"/>
    <n v="97"/>
    <n v="5"/>
    <s v="Tech Park Shuttle"/>
    <n v="15"/>
    <n v="16"/>
    <x v="0"/>
    <x v="2"/>
    <n v="1"/>
    <n v="0"/>
    <s v="Music Fest"/>
    <n v="1"/>
    <n v="1"/>
    <n v="13"/>
    <x v="3"/>
    <n v="1"/>
    <x v="1"/>
    <n v="6.27"/>
  </r>
  <r>
    <s v="T1585"/>
    <x v="1"/>
    <d v="2026-09-27T00:00:00"/>
    <d v="1899-12-30T09:00:00"/>
    <n v="44"/>
    <n v="46"/>
    <n v="5"/>
    <s v="Airport Express"/>
    <n v="32"/>
    <n v="14"/>
    <x v="1"/>
    <x v="2"/>
    <n v="1"/>
    <n v="0"/>
    <s v="Music Fest"/>
    <n v="1"/>
    <n v="1"/>
    <n v="2"/>
    <x v="4"/>
    <n v="1"/>
    <x v="1"/>
    <n v="1.38"/>
  </r>
  <r>
    <s v="T1586"/>
    <x v="3"/>
    <d v="2026-09-17T00:00:00"/>
    <d v="1899-12-30T07:00:00"/>
    <n v="143"/>
    <n v="143"/>
    <n v="6"/>
    <s v="Corridor North"/>
    <n v="18.5"/>
    <n v="22"/>
    <x v="3"/>
    <x v="4"/>
    <n v="0"/>
    <n v="0"/>
    <s v=""/>
    <n v="1"/>
    <n v="1"/>
    <n v="8"/>
    <x v="6"/>
    <n v="0"/>
    <x v="0"/>
    <n v="7.73"/>
  </r>
  <r>
    <s v="T1587"/>
    <x v="4"/>
    <d v="2026-09-29T00:00:00"/>
    <d v="1899-12-30T08:00:00"/>
    <n v="100"/>
    <n v="97"/>
    <n v="3"/>
    <s v="Suburban Link"/>
    <n v="24.8"/>
    <n v="28"/>
    <x v="4"/>
    <x v="0"/>
    <n v="0"/>
    <n v="0"/>
    <s v=""/>
    <n v="1"/>
    <n v="1"/>
    <n v="0"/>
    <x v="13"/>
    <n v="1"/>
    <x v="0"/>
    <n v="4.03"/>
  </r>
  <r>
    <s v="T1588"/>
    <x v="4"/>
    <d v="2026-09-17T00:00:00"/>
    <d v="1899-12-30T06:15:00"/>
    <n v="91"/>
    <n v="95"/>
    <n v="6"/>
    <s v="Suburban Link"/>
    <n v="24.8"/>
    <n v="28"/>
    <x v="4"/>
    <x v="4"/>
    <n v="0"/>
    <n v="0"/>
    <s v=""/>
    <n v="1"/>
    <n v="1"/>
    <n v="0"/>
    <x v="12"/>
    <n v="0"/>
    <x v="0"/>
    <n v="3.67"/>
  </r>
  <r>
    <s v="T1589"/>
    <x v="2"/>
    <d v="2026-09-10T00:00:00"/>
    <d v="1899-12-30T09:30:00"/>
    <n v="153"/>
    <n v="162"/>
    <n v="7"/>
    <s v="Downtown Loop"/>
    <n v="12.2"/>
    <n v="18"/>
    <x v="2"/>
    <x v="4"/>
    <n v="0"/>
    <n v="0"/>
    <s v=""/>
    <n v="1"/>
    <n v="1"/>
    <n v="14"/>
    <x v="4"/>
    <n v="1"/>
    <x v="0"/>
    <n v="12.54"/>
  </r>
  <r>
    <s v="T1590"/>
    <x v="0"/>
    <d v="2026-09-25T00:00:00"/>
    <d v="1899-12-30T13:45:00"/>
    <n v="80"/>
    <n v="78"/>
    <n v="3"/>
    <s v="Tech Park Shuttle"/>
    <n v="15"/>
    <n v="16"/>
    <x v="0"/>
    <x v="3"/>
    <n v="0"/>
    <n v="0"/>
    <s v=""/>
    <n v="1"/>
    <n v="1"/>
    <n v="9"/>
    <x v="5"/>
    <n v="0"/>
    <x v="0"/>
    <n v="5.33"/>
  </r>
  <r>
    <s v="T1591"/>
    <x v="3"/>
    <d v="2026-09-23T00:00:00"/>
    <d v="1899-12-30T10:15:00"/>
    <n v="159"/>
    <n v="153"/>
    <n v="6"/>
    <s v="Corridor North"/>
    <n v="18.5"/>
    <n v="22"/>
    <x v="3"/>
    <x v="6"/>
    <n v="0"/>
    <n v="0"/>
    <s v=""/>
    <n v="1"/>
    <n v="1"/>
    <n v="11"/>
    <x v="3"/>
    <n v="1"/>
    <x v="0"/>
    <n v="8.59"/>
  </r>
  <r>
    <s v="T1592"/>
    <x v="3"/>
    <d v="2026-09-17T00:00:00"/>
    <d v="1899-12-30T10:30:00"/>
    <n v="105"/>
    <n v="106"/>
    <n v="4"/>
    <s v="Corridor North"/>
    <n v="18.5"/>
    <n v="22"/>
    <x v="3"/>
    <x v="4"/>
    <n v="0"/>
    <n v="0"/>
    <s v=""/>
    <n v="1"/>
    <n v="1"/>
    <n v="0"/>
    <x v="3"/>
    <n v="1"/>
    <x v="0"/>
    <n v="5.68"/>
  </r>
  <r>
    <s v="T1593"/>
    <x v="4"/>
    <d v="2026-09-15T00:00:00"/>
    <d v="1899-12-30T16:00:00"/>
    <n v="157"/>
    <n v="161"/>
    <n v="6"/>
    <s v="Suburban Link"/>
    <n v="24.8"/>
    <n v="28"/>
    <x v="4"/>
    <x v="0"/>
    <n v="0"/>
    <n v="0"/>
    <s v=""/>
    <n v="1"/>
    <n v="1"/>
    <n v="6"/>
    <x v="2"/>
    <n v="0"/>
    <x v="0"/>
    <n v="6.33"/>
  </r>
  <r>
    <s v="T1594"/>
    <x v="2"/>
    <d v="2026-09-12T00:00:00"/>
    <d v="1899-12-30T15:15:00"/>
    <n v="120"/>
    <n v="121"/>
    <n v="6"/>
    <s v="Downtown Loop"/>
    <n v="12.2"/>
    <n v="18"/>
    <x v="2"/>
    <x v="1"/>
    <n v="1"/>
    <n v="0"/>
    <s v="Tech Expo"/>
    <n v="1"/>
    <n v="1"/>
    <n v="4"/>
    <x v="17"/>
    <n v="0"/>
    <x v="1"/>
    <n v="9.84"/>
  </r>
  <r>
    <s v="T1595"/>
    <x v="1"/>
    <d v="2026-09-30T00:00:00"/>
    <d v="1899-12-30T19:45:00"/>
    <n v="105"/>
    <n v="93"/>
    <n v="6"/>
    <s v="Airport Express"/>
    <n v="32"/>
    <n v="14"/>
    <x v="1"/>
    <x v="6"/>
    <n v="0"/>
    <n v="0"/>
    <s v=""/>
    <n v="1"/>
    <n v="1"/>
    <n v="3"/>
    <x v="8"/>
    <n v="1"/>
    <x v="0"/>
    <n v="3.28"/>
  </r>
  <r>
    <s v="T1596"/>
    <x v="3"/>
    <d v="2026-09-16T00:00:00"/>
    <d v="1899-12-30T16:00:00"/>
    <n v="96"/>
    <n v="89"/>
    <n v="5"/>
    <s v="Corridor North"/>
    <n v="18.5"/>
    <n v="22"/>
    <x v="3"/>
    <x v="6"/>
    <n v="0"/>
    <n v="0"/>
    <s v=""/>
    <n v="1"/>
    <n v="1"/>
    <n v="1"/>
    <x v="2"/>
    <n v="0"/>
    <x v="0"/>
    <n v="5.19"/>
  </r>
  <r>
    <s v="T1597"/>
    <x v="1"/>
    <d v="2026-09-24T00:00:00"/>
    <d v="1899-12-30T06:15:00"/>
    <n v="99"/>
    <n v="92"/>
    <n v="4"/>
    <s v="Airport Express"/>
    <n v="32"/>
    <n v="14"/>
    <x v="1"/>
    <x v="4"/>
    <n v="0"/>
    <n v="0"/>
    <s v=""/>
    <n v="1"/>
    <n v="1"/>
    <n v="9"/>
    <x v="12"/>
    <n v="0"/>
    <x v="0"/>
    <n v="3.09"/>
  </r>
  <r>
    <s v="T1598"/>
    <x v="0"/>
    <d v="2026-09-19T00:00:00"/>
    <d v="1899-12-30T07:45:00"/>
    <n v="169"/>
    <n v="165"/>
    <n v="6"/>
    <s v="Tech Park Shuttle"/>
    <n v="15"/>
    <n v="16"/>
    <x v="0"/>
    <x v="1"/>
    <n v="1"/>
    <n v="1"/>
    <s v=""/>
    <n v="1"/>
    <n v="1"/>
    <n v="9"/>
    <x v="6"/>
    <n v="0"/>
    <x v="0"/>
    <n v="11.27"/>
  </r>
  <r>
    <s v="T1599"/>
    <x v="3"/>
    <d v="2026-09-08T00:00:00"/>
    <d v="1899-12-30T20:00:00"/>
    <n v="218"/>
    <n v="201"/>
    <n v="6"/>
    <s v="Corridor North"/>
    <n v="18.5"/>
    <n v="22"/>
    <x v="3"/>
    <x v="0"/>
    <n v="0"/>
    <n v="0"/>
    <s v=""/>
    <n v="1"/>
    <n v="1"/>
    <n v="1"/>
    <x v="15"/>
    <n v="0"/>
    <x v="0"/>
    <n v="11.78"/>
  </r>
  <r>
    <s v="T1600"/>
    <x v="3"/>
    <d v="2026-09-21T00:00:00"/>
    <d v="1899-12-30T05:00:00"/>
    <n v="79"/>
    <n v="74"/>
    <n v="3"/>
    <s v="Corridor North"/>
    <n v="18.5"/>
    <n v="22"/>
    <x v="3"/>
    <x v="5"/>
    <n v="0"/>
    <n v="0"/>
    <s v=""/>
    <n v="1"/>
    <n v="1"/>
    <n v="0"/>
    <x v="16"/>
    <n v="0"/>
    <x v="0"/>
    <n v="4.2699999999999996"/>
  </r>
  <r>
    <s v="T1601"/>
    <x v="1"/>
    <d v="2026-09-17T00:00:00"/>
    <d v="1899-12-30T07:45:00"/>
    <n v="132"/>
    <n v="126"/>
    <n v="4"/>
    <s v="Airport Express"/>
    <n v="32"/>
    <n v="14"/>
    <x v="1"/>
    <x v="4"/>
    <n v="0"/>
    <n v="0"/>
    <s v=""/>
    <n v="1"/>
    <n v="1"/>
    <n v="4"/>
    <x v="6"/>
    <n v="0"/>
    <x v="0"/>
    <n v="4.12"/>
  </r>
  <r>
    <s v="T1602"/>
    <x v="3"/>
    <d v="2026-09-23T00:00:00"/>
    <d v="1899-12-30T06:00:00"/>
    <n v="101"/>
    <n v="100"/>
    <n v="4"/>
    <s v="Corridor North"/>
    <n v="18.5"/>
    <n v="22"/>
    <x v="3"/>
    <x v="6"/>
    <n v="0"/>
    <n v="0"/>
    <s v=""/>
    <n v="1"/>
    <n v="1"/>
    <n v="4"/>
    <x v="12"/>
    <n v="0"/>
    <x v="0"/>
    <n v="5.46"/>
  </r>
  <r>
    <s v="T1603"/>
    <x v="3"/>
    <d v="2026-09-05T00:00:00"/>
    <d v="1899-12-30T19:15:00"/>
    <n v="109"/>
    <n v="110"/>
    <n v="6"/>
    <s v="Corridor North"/>
    <n v="18.5"/>
    <n v="22"/>
    <x v="3"/>
    <x v="1"/>
    <n v="1"/>
    <n v="1"/>
    <s v=""/>
    <n v="1"/>
    <n v="1"/>
    <n v="25"/>
    <x v="8"/>
    <n v="1"/>
    <x v="0"/>
    <n v="5.89"/>
  </r>
  <r>
    <s v="T1604"/>
    <x v="2"/>
    <d v="2026-09-22T00:00:00"/>
    <d v="1899-12-30T15:00:00"/>
    <n v="87"/>
    <n v="96"/>
    <n v="4"/>
    <s v="Downtown Loop"/>
    <n v="12.2"/>
    <n v="18"/>
    <x v="2"/>
    <x v="0"/>
    <n v="0"/>
    <n v="0"/>
    <s v=""/>
    <n v="1"/>
    <n v="1"/>
    <n v="2"/>
    <x v="17"/>
    <n v="0"/>
    <x v="0"/>
    <n v="7.13"/>
  </r>
  <r>
    <s v="T1605"/>
    <x v="2"/>
    <d v="2026-09-16T00:00:00"/>
    <d v="1899-12-30T20:45:00"/>
    <n v="31"/>
    <n v="30"/>
    <n v="4"/>
    <s v="Downtown Loop"/>
    <n v="12.2"/>
    <n v="18"/>
    <x v="2"/>
    <x v="6"/>
    <n v="0"/>
    <n v="0"/>
    <s v=""/>
    <n v="1"/>
    <n v="1"/>
    <n v="10"/>
    <x v="15"/>
    <n v="0"/>
    <x v="0"/>
    <n v="2.54"/>
  </r>
  <r>
    <s v="T1606"/>
    <x v="1"/>
    <d v="2026-09-06T00:00:00"/>
    <d v="1899-12-30T21:00:00"/>
    <n v="78"/>
    <n v="69"/>
    <n v="4"/>
    <s v="Airport Express"/>
    <n v="32"/>
    <n v="14"/>
    <x v="1"/>
    <x v="2"/>
    <n v="1"/>
    <n v="0"/>
    <s v=""/>
    <n v="1"/>
    <n v="1"/>
    <n v="5"/>
    <x v="10"/>
    <n v="0"/>
    <x v="0"/>
    <n v="2.44"/>
  </r>
  <r>
    <s v="T1607"/>
    <x v="0"/>
    <d v="2026-09-08T00:00:00"/>
    <d v="1899-12-30T16:30:00"/>
    <n v="119"/>
    <n v="125"/>
    <n v="4"/>
    <s v="Tech Park Shuttle"/>
    <n v="15"/>
    <n v="16"/>
    <x v="0"/>
    <x v="0"/>
    <n v="0"/>
    <n v="0"/>
    <s v=""/>
    <n v="1"/>
    <n v="1"/>
    <n v="7"/>
    <x v="2"/>
    <n v="0"/>
    <x v="0"/>
    <n v="7.93"/>
  </r>
  <r>
    <s v="T1608"/>
    <x v="3"/>
    <d v="2026-09-25T00:00:00"/>
    <d v="1899-12-30T19:30:00"/>
    <n v="51"/>
    <n v="60"/>
    <n v="4"/>
    <s v="Corridor North"/>
    <n v="18.5"/>
    <n v="22"/>
    <x v="3"/>
    <x v="3"/>
    <n v="0"/>
    <n v="0"/>
    <s v=""/>
    <n v="1"/>
    <n v="1"/>
    <n v="0"/>
    <x v="8"/>
    <n v="1"/>
    <x v="0"/>
    <n v="2.76"/>
  </r>
  <r>
    <s v="T1609"/>
    <x v="3"/>
    <d v="2026-09-18T00:00:00"/>
    <d v="1899-12-30T07:00:00"/>
    <n v="197"/>
    <n v="198"/>
    <n v="7"/>
    <s v="Corridor North"/>
    <n v="18.5"/>
    <n v="22"/>
    <x v="3"/>
    <x v="3"/>
    <n v="0"/>
    <n v="0"/>
    <s v=""/>
    <n v="1"/>
    <n v="1"/>
    <n v="4"/>
    <x v="6"/>
    <n v="0"/>
    <x v="0"/>
    <n v="10.65"/>
  </r>
  <r>
    <s v="T1610"/>
    <x v="1"/>
    <d v="2026-09-25T00:00:00"/>
    <d v="1899-12-30T20:15:00"/>
    <n v="73"/>
    <n v="71"/>
    <n v="3"/>
    <s v="Airport Express"/>
    <n v="32"/>
    <n v="14"/>
    <x v="1"/>
    <x v="3"/>
    <n v="0"/>
    <n v="0"/>
    <s v=""/>
    <n v="1"/>
    <n v="1"/>
    <n v="14"/>
    <x v="15"/>
    <n v="0"/>
    <x v="0"/>
    <n v="2.2799999999999998"/>
  </r>
  <r>
    <s v="T1611"/>
    <x v="1"/>
    <d v="2026-09-12T00:00:00"/>
    <d v="1899-12-30T06:30:00"/>
    <n v="50"/>
    <n v="46"/>
    <n v="3"/>
    <s v="Airport Express"/>
    <n v="32"/>
    <n v="14"/>
    <x v="1"/>
    <x v="1"/>
    <n v="1"/>
    <n v="0"/>
    <s v="Tech Expo"/>
    <n v="1"/>
    <n v="1"/>
    <n v="1"/>
    <x v="12"/>
    <n v="0"/>
    <x v="1"/>
    <n v="1.56"/>
  </r>
  <r>
    <s v="T1612"/>
    <x v="1"/>
    <d v="2026-09-15T00:00:00"/>
    <d v="1899-12-30T12:45:00"/>
    <n v="70"/>
    <n v="72"/>
    <n v="4"/>
    <s v="Airport Express"/>
    <n v="32"/>
    <n v="14"/>
    <x v="1"/>
    <x v="0"/>
    <n v="0"/>
    <n v="0"/>
    <s v=""/>
    <n v="1"/>
    <n v="1"/>
    <n v="0"/>
    <x v="14"/>
    <n v="0"/>
    <x v="0"/>
    <n v="2.19"/>
  </r>
  <r>
    <s v="T1613"/>
    <x v="1"/>
    <d v="2026-09-27T00:00:00"/>
    <d v="1899-12-30T19:30:00"/>
    <n v="46"/>
    <n v="50"/>
    <n v="4"/>
    <s v="Airport Express"/>
    <n v="32"/>
    <n v="14"/>
    <x v="1"/>
    <x v="2"/>
    <n v="1"/>
    <n v="0"/>
    <s v="Music Fest"/>
    <n v="1"/>
    <n v="1"/>
    <n v="4"/>
    <x v="8"/>
    <n v="1"/>
    <x v="1"/>
    <n v="1.44"/>
  </r>
  <r>
    <s v="T1614"/>
    <x v="3"/>
    <d v="2026-09-26T00:00:00"/>
    <d v="1899-12-30T10:00:00"/>
    <n v="125"/>
    <n v="134"/>
    <n v="4"/>
    <s v="Corridor North"/>
    <n v="18.5"/>
    <n v="22"/>
    <x v="3"/>
    <x v="1"/>
    <n v="1"/>
    <n v="0"/>
    <s v=""/>
    <n v="1"/>
    <n v="1"/>
    <n v="7"/>
    <x v="3"/>
    <n v="1"/>
    <x v="0"/>
    <n v="6.76"/>
  </r>
  <r>
    <s v="T1615"/>
    <x v="1"/>
    <d v="2026-09-09T00:00:00"/>
    <d v="1899-12-30T05:45:00"/>
    <n v="72"/>
    <n v="72"/>
    <n v="4"/>
    <s v="Airport Express"/>
    <n v="32"/>
    <n v="14"/>
    <x v="1"/>
    <x v="6"/>
    <n v="0"/>
    <n v="0"/>
    <s v=""/>
    <n v="1"/>
    <n v="1"/>
    <n v="8"/>
    <x v="16"/>
    <n v="0"/>
    <x v="0"/>
    <n v="2.25"/>
  </r>
  <r>
    <s v="T1616"/>
    <x v="1"/>
    <d v="2026-09-13T00:00:00"/>
    <d v="1899-12-30T07:45:00"/>
    <n v="87"/>
    <n v="76"/>
    <n v="4"/>
    <s v="Airport Express"/>
    <n v="32"/>
    <n v="14"/>
    <x v="1"/>
    <x v="2"/>
    <n v="1"/>
    <n v="0"/>
    <s v=""/>
    <n v="1"/>
    <n v="1"/>
    <n v="0"/>
    <x v="6"/>
    <n v="0"/>
    <x v="0"/>
    <n v="2.72"/>
  </r>
  <r>
    <s v="T1617"/>
    <x v="3"/>
    <d v="2026-09-26T00:00:00"/>
    <d v="1899-12-30T19:15:00"/>
    <n v="86"/>
    <n v="76"/>
    <n v="6"/>
    <s v="Corridor North"/>
    <n v="18.5"/>
    <n v="22"/>
    <x v="3"/>
    <x v="1"/>
    <n v="1"/>
    <n v="0"/>
    <s v=""/>
    <n v="1"/>
    <n v="1"/>
    <n v="6"/>
    <x v="8"/>
    <n v="1"/>
    <x v="0"/>
    <n v="4.6500000000000004"/>
  </r>
  <r>
    <s v="T1618"/>
    <x v="3"/>
    <d v="2026-09-15T00:00:00"/>
    <d v="1899-12-30T19:30:00"/>
    <n v="131"/>
    <n v="128"/>
    <n v="5"/>
    <s v="Corridor North"/>
    <n v="18.5"/>
    <n v="22"/>
    <x v="3"/>
    <x v="0"/>
    <n v="0"/>
    <n v="0"/>
    <s v=""/>
    <n v="1"/>
    <n v="1"/>
    <n v="20"/>
    <x v="8"/>
    <n v="1"/>
    <x v="0"/>
    <n v="7.08"/>
  </r>
  <r>
    <s v="T1619"/>
    <x v="2"/>
    <d v="2026-09-10T00:00:00"/>
    <d v="1899-12-30T07:00:00"/>
    <n v="142"/>
    <n v="129"/>
    <n v="5"/>
    <s v="Downtown Loop"/>
    <n v="12.2"/>
    <n v="18"/>
    <x v="2"/>
    <x v="4"/>
    <n v="0"/>
    <n v="0"/>
    <s v=""/>
    <n v="1"/>
    <n v="1"/>
    <n v="5"/>
    <x v="6"/>
    <n v="0"/>
    <x v="0"/>
    <n v="11.64"/>
  </r>
  <r>
    <s v="T1620"/>
    <x v="1"/>
    <d v="2026-09-16T00:00:00"/>
    <d v="1899-12-30T18:45:00"/>
    <n v="67"/>
    <n v="67"/>
    <n v="4"/>
    <s v="Airport Express"/>
    <n v="32"/>
    <n v="14"/>
    <x v="1"/>
    <x v="6"/>
    <n v="0"/>
    <n v="0"/>
    <s v=""/>
    <n v="1"/>
    <n v="1"/>
    <n v="0"/>
    <x v="0"/>
    <n v="1"/>
    <x v="0"/>
    <n v="2.09"/>
  </r>
  <r>
    <s v="T1621"/>
    <x v="1"/>
    <d v="2026-09-07T00:00:00"/>
    <d v="1899-12-30T18:45:00"/>
    <n v="60"/>
    <n v="70"/>
    <n v="5"/>
    <s v="Airport Express"/>
    <n v="32"/>
    <n v="14"/>
    <x v="1"/>
    <x v="5"/>
    <n v="0"/>
    <n v="0"/>
    <s v=""/>
    <n v="1"/>
    <n v="1"/>
    <n v="7"/>
    <x v="0"/>
    <n v="1"/>
    <x v="0"/>
    <n v="1.88"/>
  </r>
  <r>
    <s v="T1622"/>
    <x v="2"/>
    <d v="2026-09-17T00:00:00"/>
    <d v="1899-12-30T16:00:00"/>
    <n v="111"/>
    <n v="107"/>
    <n v="5"/>
    <s v="Downtown Loop"/>
    <n v="12.2"/>
    <n v="18"/>
    <x v="2"/>
    <x v="4"/>
    <n v="0"/>
    <n v="0"/>
    <s v=""/>
    <n v="1"/>
    <n v="1"/>
    <n v="3"/>
    <x v="2"/>
    <n v="0"/>
    <x v="0"/>
    <n v="9.1"/>
  </r>
  <r>
    <s v="T1623"/>
    <x v="1"/>
    <d v="2026-09-23T00:00:00"/>
    <d v="1899-12-30T11:00:00"/>
    <n v="62"/>
    <n v="60"/>
    <n v="4"/>
    <s v="Airport Express"/>
    <n v="32"/>
    <n v="14"/>
    <x v="1"/>
    <x v="6"/>
    <n v="0"/>
    <n v="0"/>
    <s v=""/>
    <n v="1"/>
    <n v="1"/>
    <n v="9"/>
    <x v="9"/>
    <n v="0"/>
    <x v="0"/>
    <n v="1.94"/>
  </r>
  <r>
    <s v="T1624"/>
    <x v="1"/>
    <d v="2026-09-26T00:00:00"/>
    <d v="1899-12-30T07:45:00"/>
    <n v="49"/>
    <n v="54"/>
    <n v="5"/>
    <s v="Airport Express"/>
    <n v="32"/>
    <n v="14"/>
    <x v="1"/>
    <x v="1"/>
    <n v="1"/>
    <n v="0"/>
    <s v=""/>
    <n v="1"/>
    <n v="1"/>
    <n v="0"/>
    <x v="6"/>
    <n v="0"/>
    <x v="0"/>
    <n v="1.53"/>
  </r>
  <r>
    <s v="T1625"/>
    <x v="3"/>
    <d v="2026-09-21T00:00:00"/>
    <d v="1899-12-30T17:30:00"/>
    <n v="100"/>
    <n v="94"/>
    <n v="4"/>
    <s v="Corridor North"/>
    <n v="18.5"/>
    <n v="22"/>
    <x v="3"/>
    <x v="5"/>
    <n v="0"/>
    <n v="0"/>
    <s v=""/>
    <n v="1"/>
    <n v="1"/>
    <n v="15"/>
    <x v="1"/>
    <n v="1"/>
    <x v="0"/>
    <n v="5.41"/>
  </r>
  <r>
    <s v="T1626"/>
    <x v="3"/>
    <d v="2026-09-22T00:00:00"/>
    <d v="1899-12-30T22:30:00"/>
    <n v="128"/>
    <n v="130"/>
    <n v="3"/>
    <s v="Corridor North"/>
    <n v="18.5"/>
    <n v="22"/>
    <x v="3"/>
    <x v="0"/>
    <n v="0"/>
    <n v="0"/>
    <s v=""/>
    <n v="1"/>
    <n v="1"/>
    <n v="4"/>
    <x v="11"/>
    <n v="0"/>
    <x v="0"/>
    <n v="6.92"/>
  </r>
  <r>
    <s v="T1627"/>
    <x v="3"/>
    <d v="2026-09-26T00:00:00"/>
    <d v="1899-12-30T05:15:00"/>
    <n v="47"/>
    <n v="50"/>
    <n v="4"/>
    <s v="Corridor North"/>
    <n v="18.5"/>
    <n v="22"/>
    <x v="3"/>
    <x v="1"/>
    <n v="1"/>
    <n v="0"/>
    <s v=""/>
    <n v="1"/>
    <n v="1"/>
    <n v="26"/>
    <x v="16"/>
    <n v="0"/>
    <x v="0"/>
    <n v="2.54"/>
  </r>
  <r>
    <s v="T1628"/>
    <x v="1"/>
    <d v="2026-09-07T00:00:00"/>
    <d v="1899-12-30T06:45:00"/>
    <n v="78"/>
    <n v="80"/>
    <n v="4"/>
    <s v="Airport Express"/>
    <n v="32"/>
    <n v="14"/>
    <x v="1"/>
    <x v="5"/>
    <n v="0"/>
    <n v="0"/>
    <s v=""/>
    <n v="1"/>
    <n v="1"/>
    <n v="4"/>
    <x v="12"/>
    <n v="0"/>
    <x v="0"/>
    <n v="2.44"/>
  </r>
  <r>
    <s v="T1629"/>
    <x v="1"/>
    <d v="2026-09-14T00:00:00"/>
    <d v="1899-12-30T18:15:00"/>
    <n v="60"/>
    <n v="69"/>
    <n v="2"/>
    <s v="Airport Express"/>
    <n v="32"/>
    <n v="14"/>
    <x v="1"/>
    <x v="5"/>
    <n v="0"/>
    <n v="0"/>
    <s v=""/>
    <n v="1"/>
    <n v="1"/>
    <n v="5"/>
    <x v="0"/>
    <n v="1"/>
    <x v="0"/>
    <n v="1.88"/>
  </r>
  <r>
    <s v="T1630"/>
    <x v="2"/>
    <d v="2026-09-15T00:00:00"/>
    <d v="1899-12-30T18:45:00"/>
    <n v="90"/>
    <n v="91"/>
    <n v="4"/>
    <s v="Downtown Loop"/>
    <n v="12.2"/>
    <n v="18"/>
    <x v="2"/>
    <x v="0"/>
    <n v="0"/>
    <n v="0"/>
    <s v=""/>
    <n v="1"/>
    <n v="1"/>
    <n v="0"/>
    <x v="0"/>
    <n v="1"/>
    <x v="0"/>
    <n v="7.38"/>
  </r>
  <r>
    <s v="T1631"/>
    <x v="2"/>
    <d v="2026-09-21T00:00:00"/>
    <d v="1899-12-30T12:15:00"/>
    <n v="76"/>
    <n v="77"/>
    <n v="6"/>
    <s v="Downtown Loop"/>
    <n v="12.2"/>
    <n v="18"/>
    <x v="2"/>
    <x v="5"/>
    <n v="0"/>
    <n v="0"/>
    <s v=""/>
    <n v="1"/>
    <n v="1"/>
    <n v="1"/>
    <x v="14"/>
    <n v="0"/>
    <x v="0"/>
    <n v="6.23"/>
  </r>
  <r>
    <s v="T1632"/>
    <x v="1"/>
    <d v="2026-09-07T00:00:00"/>
    <d v="1899-12-30T07:30:00"/>
    <n v="74"/>
    <n v="69"/>
    <n v="4"/>
    <s v="Airport Express"/>
    <n v="32"/>
    <n v="14"/>
    <x v="1"/>
    <x v="5"/>
    <n v="0"/>
    <n v="0"/>
    <s v=""/>
    <n v="1"/>
    <n v="1"/>
    <n v="21"/>
    <x v="6"/>
    <n v="0"/>
    <x v="0"/>
    <n v="2.31"/>
  </r>
  <r>
    <s v="T1633"/>
    <x v="0"/>
    <d v="2026-09-09T00:00:00"/>
    <d v="1899-12-30T18:30:00"/>
    <n v="71"/>
    <n v="61"/>
    <n v="3"/>
    <s v="Tech Park Shuttle"/>
    <n v="15"/>
    <n v="16"/>
    <x v="0"/>
    <x v="6"/>
    <n v="0"/>
    <n v="0"/>
    <s v=""/>
    <n v="1"/>
    <n v="1"/>
    <n v="6"/>
    <x v="0"/>
    <n v="1"/>
    <x v="0"/>
    <n v="4.7300000000000004"/>
  </r>
  <r>
    <s v="T1634"/>
    <x v="4"/>
    <d v="2026-09-19T00:00:00"/>
    <d v="1899-12-30T21:00:00"/>
    <n v="82"/>
    <n v="88"/>
    <n v="3"/>
    <s v="Suburban Link"/>
    <n v="24.8"/>
    <n v="28"/>
    <x v="4"/>
    <x v="1"/>
    <n v="1"/>
    <n v="1"/>
    <s v=""/>
    <n v="1"/>
    <n v="1"/>
    <n v="0"/>
    <x v="10"/>
    <n v="0"/>
    <x v="0"/>
    <n v="3.31"/>
  </r>
  <r>
    <s v="T1635"/>
    <x v="3"/>
    <d v="2026-09-16T00:00:00"/>
    <d v="1899-12-30T12:45:00"/>
    <n v="144"/>
    <n v="144"/>
    <n v="5"/>
    <s v="Corridor North"/>
    <n v="18.5"/>
    <n v="22"/>
    <x v="3"/>
    <x v="6"/>
    <n v="0"/>
    <n v="0"/>
    <s v=""/>
    <n v="1"/>
    <n v="1"/>
    <n v="0"/>
    <x v="14"/>
    <n v="0"/>
    <x v="0"/>
    <n v="7.78"/>
  </r>
  <r>
    <s v="T1636"/>
    <x v="2"/>
    <d v="2026-09-08T00:00:00"/>
    <d v="1899-12-30T18:15:00"/>
    <n v="142"/>
    <n v="148"/>
    <n v="6"/>
    <s v="Downtown Loop"/>
    <n v="12.2"/>
    <n v="18"/>
    <x v="2"/>
    <x v="0"/>
    <n v="0"/>
    <n v="0"/>
    <s v=""/>
    <n v="1"/>
    <n v="1"/>
    <n v="3"/>
    <x v="0"/>
    <n v="1"/>
    <x v="0"/>
    <n v="11.64"/>
  </r>
  <r>
    <s v="T1637"/>
    <x v="1"/>
    <d v="2026-09-18T00:00:00"/>
    <d v="1899-12-30T10:30:00"/>
    <n v="70"/>
    <n v="68"/>
    <n v="3"/>
    <s v="Airport Express"/>
    <n v="32"/>
    <n v="14"/>
    <x v="1"/>
    <x v="3"/>
    <n v="0"/>
    <n v="0"/>
    <s v=""/>
    <n v="1"/>
    <n v="1"/>
    <n v="2"/>
    <x v="3"/>
    <n v="1"/>
    <x v="0"/>
    <n v="2.19"/>
  </r>
  <r>
    <s v="T1638"/>
    <x v="3"/>
    <d v="2026-09-27T00:00:00"/>
    <d v="1899-12-30T20:00:00"/>
    <n v="95"/>
    <n v="102"/>
    <n v="4"/>
    <s v="Corridor North"/>
    <n v="18.5"/>
    <n v="22"/>
    <x v="3"/>
    <x v="2"/>
    <n v="1"/>
    <n v="0"/>
    <s v="Music Fest"/>
    <n v="1"/>
    <n v="1"/>
    <n v="10"/>
    <x v="15"/>
    <n v="0"/>
    <x v="1"/>
    <n v="5.14"/>
  </r>
  <r>
    <s v="T1639"/>
    <x v="1"/>
    <d v="2026-09-23T00:00:00"/>
    <d v="1899-12-30T18:30:00"/>
    <n v="67"/>
    <n v="70"/>
    <n v="3"/>
    <s v="Airport Express"/>
    <n v="32"/>
    <n v="14"/>
    <x v="1"/>
    <x v="6"/>
    <n v="0"/>
    <n v="0"/>
    <s v=""/>
    <n v="1"/>
    <n v="1"/>
    <n v="1"/>
    <x v="0"/>
    <n v="1"/>
    <x v="0"/>
    <n v="2.09"/>
  </r>
  <r>
    <s v="T1640"/>
    <x v="0"/>
    <d v="2026-09-29T00:00:00"/>
    <d v="1899-12-30T07:15:00"/>
    <n v="169"/>
    <n v="163"/>
    <n v="6"/>
    <s v="Tech Park Shuttle"/>
    <n v="15"/>
    <n v="16"/>
    <x v="0"/>
    <x v="0"/>
    <n v="0"/>
    <n v="0"/>
    <s v=""/>
    <n v="1"/>
    <n v="1"/>
    <n v="1"/>
    <x v="6"/>
    <n v="0"/>
    <x v="0"/>
    <n v="11.27"/>
  </r>
  <r>
    <s v="T1641"/>
    <x v="3"/>
    <d v="2026-09-18T00:00:00"/>
    <d v="1899-12-30T13:45:00"/>
    <n v="155"/>
    <n v="140"/>
    <n v="6"/>
    <s v="Corridor North"/>
    <n v="18.5"/>
    <n v="22"/>
    <x v="3"/>
    <x v="3"/>
    <n v="0"/>
    <n v="0"/>
    <s v=""/>
    <n v="1"/>
    <n v="1"/>
    <n v="6"/>
    <x v="5"/>
    <n v="0"/>
    <x v="0"/>
    <n v="8.3800000000000008"/>
  </r>
  <r>
    <s v="T1642"/>
    <x v="3"/>
    <d v="2026-09-30T00:00:00"/>
    <d v="1899-12-30T17:30:00"/>
    <n v="98"/>
    <n v="98"/>
    <n v="4"/>
    <s v="Corridor North"/>
    <n v="18.5"/>
    <n v="22"/>
    <x v="3"/>
    <x v="6"/>
    <n v="0"/>
    <n v="0"/>
    <s v=""/>
    <n v="1"/>
    <n v="1"/>
    <n v="1"/>
    <x v="1"/>
    <n v="1"/>
    <x v="0"/>
    <n v="5.3"/>
  </r>
  <r>
    <s v="T1643"/>
    <x v="2"/>
    <d v="2026-09-20T00:00:00"/>
    <d v="1899-12-30T18:30:00"/>
    <n v="165"/>
    <n v="175"/>
    <n v="5"/>
    <s v="Downtown Loop"/>
    <n v="12.2"/>
    <n v="18"/>
    <x v="2"/>
    <x v="2"/>
    <n v="1"/>
    <n v="0"/>
    <s v="Marathon"/>
    <n v="1"/>
    <n v="1"/>
    <n v="0"/>
    <x v="0"/>
    <n v="1"/>
    <x v="1"/>
    <n v="13.52"/>
  </r>
  <r>
    <s v="T1644"/>
    <x v="3"/>
    <d v="2026-09-07T00:00:00"/>
    <d v="1899-12-30T13:30:00"/>
    <n v="69"/>
    <n v="70"/>
    <n v="4"/>
    <s v="Corridor North"/>
    <n v="18.5"/>
    <n v="22"/>
    <x v="3"/>
    <x v="5"/>
    <n v="0"/>
    <n v="0"/>
    <s v=""/>
    <n v="1"/>
    <n v="1"/>
    <n v="0"/>
    <x v="5"/>
    <n v="0"/>
    <x v="0"/>
    <n v="3.73"/>
  </r>
  <r>
    <s v="T1645"/>
    <x v="3"/>
    <d v="2026-09-03T00:00:00"/>
    <d v="1899-12-30T19:45:00"/>
    <n v="128"/>
    <n v="126"/>
    <n v="5"/>
    <s v="Corridor North"/>
    <n v="18.5"/>
    <n v="22"/>
    <x v="3"/>
    <x v="4"/>
    <n v="0"/>
    <n v="0"/>
    <s v=""/>
    <n v="1"/>
    <n v="1"/>
    <n v="0"/>
    <x v="8"/>
    <n v="1"/>
    <x v="0"/>
    <n v="6.92"/>
  </r>
  <r>
    <s v="T1646"/>
    <x v="3"/>
    <d v="2026-09-18T00:00:00"/>
    <d v="1899-12-30T18:45:00"/>
    <n v="98"/>
    <n v="92"/>
    <n v="5"/>
    <s v="Corridor North"/>
    <n v="18.5"/>
    <n v="22"/>
    <x v="3"/>
    <x v="3"/>
    <n v="0"/>
    <n v="0"/>
    <s v=""/>
    <n v="1"/>
    <n v="1"/>
    <n v="2"/>
    <x v="0"/>
    <n v="1"/>
    <x v="0"/>
    <n v="5.3"/>
  </r>
  <r>
    <s v="T1647"/>
    <x v="4"/>
    <d v="2026-09-27T00:00:00"/>
    <d v="1899-12-30T10:00:00"/>
    <n v="168"/>
    <n v="159"/>
    <n v="5"/>
    <s v="Suburban Link"/>
    <n v="24.8"/>
    <n v="28"/>
    <x v="4"/>
    <x v="2"/>
    <n v="1"/>
    <n v="0"/>
    <s v="Music Fest"/>
    <n v="1"/>
    <n v="1"/>
    <n v="3"/>
    <x v="3"/>
    <n v="1"/>
    <x v="1"/>
    <n v="6.77"/>
  </r>
  <r>
    <s v="T1648"/>
    <x v="3"/>
    <d v="2026-09-10T00:00:00"/>
    <d v="1899-12-30T08:45:00"/>
    <n v="77"/>
    <n v="79"/>
    <n v="3"/>
    <s v="Corridor North"/>
    <n v="18.5"/>
    <n v="22"/>
    <x v="3"/>
    <x v="4"/>
    <n v="0"/>
    <n v="0"/>
    <s v=""/>
    <n v="1"/>
    <n v="1"/>
    <n v="6"/>
    <x v="13"/>
    <n v="1"/>
    <x v="0"/>
    <n v="4.16"/>
  </r>
  <r>
    <s v="T1649"/>
    <x v="1"/>
    <d v="2026-09-07T00:00:00"/>
    <d v="1899-12-30T21:15:00"/>
    <n v="121"/>
    <n v="117"/>
    <n v="6"/>
    <s v="Airport Express"/>
    <n v="32"/>
    <n v="14"/>
    <x v="1"/>
    <x v="5"/>
    <n v="0"/>
    <n v="0"/>
    <s v=""/>
    <n v="1"/>
    <n v="1"/>
    <n v="0"/>
    <x v="10"/>
    <n v="0"/>
    <x v="0"/>
    <n v="3.78"/>
  </r>
  <r>
    <s v="T1650"/>
    <x v="3"/>
    <d v="2026-09-17T00:00:00"/>
    <d v="1899-12-30T13:45:00"/>
    <n v="152"/>
    <n v="163"/>
    <n v="6"/>
    <s v="Corridor North"/>
    <n v="18.5"/>
    <n v="22"/>
    <x v="3"/>
    <x v="4"/>
    <n v="0"/>
    <n v="0"/>
    <s v=""/>
    <n v="1"/>
    <n v="1"/>
    <n v="1"/>
    <x v="5"/>
    <n v="0"/>
    <x v="0"/>
    <n v="8.2200000000000006"/>
  </r>
  <r>
    <s v="T1651"/>
    <x v="0"/>
    <d v="2026-09-14T00:00:00"/>
    <d v="1899-12-30T05:45:00"/>
    <n v="119"/>
    <n v="121"/>
    <n v="5"/>
    <s v="Tech Park Shuttle"/>
    <n v="15"/>
    <n v="16"/>
    <x v="0"/>
    <x v="5"/>
    <n v="0"/>
    <n v="0"/>
    <s v=""/>
    <n v="1"/>
    <n v="1"/>
    <n v="24"/>
    <x v="16"/>
    <n v="0"/>
    <x v="0"/>
    <n v="7.93"/>
  </r>
  <r>
    <s v="T1652"/>
    <x v="1"/>
    <d v="2026-09-24T00:00:00"/>
    <d v="1899-12-30T18:30:00"/>
    <n v="99"/>
    <n v="101"/>
    <n v="4"/>
    <s v="Airport Express"/>
    <n v="32"/>
    <n v="14"/>
    <x v="1"/>
    <x v="4"/>
    <n v="0"/>
    <n v="0"/>
    <s v=""/>
    <n v="1"/>
    <n v="1"/>
    <n v="4"/>
    <x v="0"/>
    <n v="1"/>
    <x v="0"/>
    <n v="3.09"/>
  </r>
  <r>
    <s v="T1653"/>
    <x v="3"/>
    <d v="2026-09-03T00:00:00"/>
    <d v="1899-12-30T07:00:00"/>
    <n v="53"/>
    <n v="42"/>
    <n v="4"/>
    <s v="Corridor North"/>
    <n v="18.5"/>
    <n v="22"/>
    <x v="3"/>
    <x v="4"/>
    <n v="0"/>
    <n v="0"/>
    <s v=""/>
    <n v="1"/>
    <n v="1"/>
    <n v="1"/>
    <x v="6"/>
    <n v="0"/>
    <x v="0"/>
    <n v="2.86"/>
  </r>
  <r>
    <s v="T1654"/>
    <x v="2"/>
    <d v="2026-09-12T00:00:00"/>
    <d v="1899-12-30T18:15:00"/>
    <n v="149"/>
    <n v="146"/>
    <n v="5"/>
    <s v="Downtown Loop"/>
    <n v="12.2"/>
    <n v="18"/>
    <x v="2"/>
    <x v="1"/>
    <n v="1"/>
    <n v="0"/>
    <s v="Tech Expo"/>
    <n v="1"/>
    <n v="1"/>
    <n v="4"/>
    <x v="0"/>
    <n v="1"/>
    <x v="1"/>
    <n v="12.21"/>
  </r>
  <r>
    <s v="T1655"/>
    <x v="3"/>
    <d v="2026-09-28T00:00:00"/>
    <d v="1899-12-30T13:45:00"/>
    <n v="50"/>
    <n v="55"/>
    <n v="3"/>
    <s v="Corridor North"/>
    <n v="18.5"/>
    <n v="22"/>
    <x v="3"/>
    <x v="5"/>
    <n v="0"/>
    <n v="0"/>
    <s v=""/>
    <n v="1"/>
    <n v="1"/>
    <n v="4"/>
    <x v="5"/>
    <n v="0"/>
    <x v="0"/>
    <n v="2.7"/>
  </r>
  <r>
    <s v="T1656"/>
    <x v="2"/>
    <d v="2026-09-13T00:00:00"/>
    <d v="1899-12-30T08:45:00"/>
    <n v="58"/>
    <n v="61"/>
    <n v="3"/>
    <s v="Downtown Loop"/>
    <n v="12.2"/>
    <n v="18"/>
    <x v="2"/>
    <x v="2"/>
    <n v="1"/>
    <n v="0"/>
    <s v=""/>
    <n v="1"/>
    <n v="1"/>
    <n v="2"/>
    <x v="13"/>
    <n v="1"/>
    <x v="0"/>
    <n v="4.75"/>
  </r>
  <r>
    <s v="T1657"/>
    <x v="1"/>
    <d v="2026-09-02T00:00:00"/>
    <d v="1899-12-30T12:15:00"/>
    <n v="124"/>
    <n v="115"/>
    <n v="6"/>
    <s v="Airport Express"/>
    <n v="32"/>
    <n v="14"/>
    <x v="1"/>
    <x v="6"/>
    <n v="0"/>
    <n v="0"/>
    <s v=""/>
    <n v="1"/>
    <n v="1"/>
    <n v="3"/>
    <x v="14"/>
    <n v="0"/>
    <x v="0"/>
    <n v="3.88"/>
  </r>
  <r>
    <s v="T1658"/>
    <x v="2"/>
    <d v="2026-09-03T00:00:00"/>
    <d v="1899-12-30T13:00:00"/>
    <n v="105"/>
    <n v="100"/>
    <n v="6"/>
    <s v="Downtown Loop"/>
    <n v="12.2"/>
    <n v="18"/>
    <x v="2"/>
    <x v="4"/>
    <n v="0"/>
    <n v="0"/>
    <s v=""/>
    <n v="1"/>
    <n v="1"/>
    <n v="9"/>
    <x v="5"/>
    <n v="0"/>
    <x v="0"/>
    <n v="8.61"/>
  </r>
  <r>
    <s v="T1659"/>
    <x v="1"/>
    <d v="2026-09-05T00:00:00"/>
    <d v="1899-12-30T18:15:00"/>
    <n v="215"/>
    <n v="216"/>
    <n v="7"/>
    <s v="Airport Express"/>
    <n v="32"/>
    <n v="14"/>
    <x v="1"/>
    <x v="1"/>
    <n v="1"/>
    <n v="1"/>
    <s v=""/>
    <n v="1"/>
    <n v="1"/>
    <n v="10"/>
    <x v="0"/>
    <n v="1"/>
    <x v="0"/>
    <n v="6.72"/>
  </r>
  <r>
    <s v="T1660"/>
    <x v="3"/>
    <d v="2026-09-11T00:00:00"/>
    <d v="1899-12-30T13:45:00"/>
    <n v="132"/>
    <n v="131"/>
    <n v="6"/>
    <s v="Corridor North"/>
    <n v="18.5"/>
    <n v="22"/>
    <x v="3"/>
    <x v="3"/>
    <n v="0"/>
    <n v="0"/>
    <s v=""/>
    <n v="1"/>
    <n v="1"/>
    <n v="2"/>
    <x v="5"/>
    <n v="0"/>
    <x v="0"/>
    <n v="7.14"/>
  </r>
  <r>
    <s v="T1661"/>
    <x v="2"/>
    <d v="2026-09-08T00:00:00"/>
    <d v="1899-12-30T20:00:00"/>
    <n v="58"/>
    <n v="58"/>
    <n v="3"/>
    <s v="Downtown Loop"/>
    <n v="12.2"/>
    <n v="18"/>
    <x v="2"/>
    <x v="0"/>
    <n v="0"/>
    <n v="0"/>
    <s v=""/>
    <n v="1"/>
    <n v="1"/>
    <n v="4"/>
    <x v="15"/>
    <n v="0"/>
    <x v="0"/>
    <n v="4.75"/>
  </r>
  <r>
    <s v="T1662"/>
    <x v="2"/>
    <d v="2026-09-26T00:00:00"/>
    <d v="1899-12-30T21:45:00"/>
    <n v="146"/>
    <n v="130"/>
    <n v="7"/>
    <s v="Downtown Loop"/>
    <n v="12.2"/>
    <n v="18"/>
    <x v="2"/>
    <x v="1"/>
    <n v="1"/>
    <n v="0"/>
    <s v=""/>
    <n v="1"/>
    <n v="1"/>
    <n v="3"/>
    <x v="10"/>
    <n v="0"/>
    <x v="0"/>
    <n v="11.97"/>
  </r>
  <r>
    <s v="T1663"/>
    <x v="3"/>
    <d v="2026-09-23T00:00:00"/>
    <d v="1899-12-30T16:30:00"/>
    <n v="29"/>
    <n v="27"/>
    <n v="4"/>
    <s v="Corridor North"/>
    <n v="18.5"/>
    <n v="22"/>
    <x v="3"/>
    <x v="6"/>
    <n v="0"/>
    <n v="0"/>
    <s v=""/>
    <n v="1"/>
    <n v="1"/>
    <n v="7"/>
    <x v="2"/>
    <n v="0"/>
    <x v="0"/>
    <n v="1.57"/>
  </r>
  <r>
    <s v="T1664"/>
    <x v="1"/>
    <d v="2026-09-23T00:00:00"/>
    <d v="1899-12-30T15:45:00"/>
    <n v="119"/>
    <n v="122"/>
    <n v="4"/>
    <s v="Airport Express"/>
    <n v="32"/>
    <n v="14"/>
    <x v="1"/>
    <x v="6"/>
    <n v="0"/>
    <n v="0"/>
    <s v=""/>
    <n v="1"/>
    <n v="1"/>
    <n v="1"/>
    <x v="17"/>
    <n v="0"/>
    <x v="0"/>
    <n v="3.72"/>
  </r>
  <r>
    <s v="T1665"/>
    <x v="3"/>
    <d v="2026-09-12T00:00:00"/>
    <d v="1899-12-30T18:15:00"/>
    <n v="79"/>
    <n v="71"/>
    <n v="5"/>
    <s v="Corridor North"/>
    <n v="18.5"/>
    <n v="22"/>
    <x v="3"/>
    <x v="1"/>
    <n v="1"/>
    <n v="0"/>
    <s v="Tech Expo"/>
    <n v="1"/>
    <n v="1"/>
    <n v="11"/>
    <x v="0"/>
    <n v="1"/>
    <x v="1"/>
    <n v="4.2699999999999996"/>
  </r>
  <r>
    <s v="T1666"/>
    <x v="2"/>
    <d v="2026-09-07T00:00:00"/>
    <d v="1899-12-30T09:45:00"/>
    <n v="151"/>
    <n v="149"/>
    <n v="4"/>
    <s v="Downtown Loop"/>
    <n v="12.2"/>
    <n v="18"/>
    <x v="2"/>
    <x v="5"/>
    <n v="0"/>
    <n v="0"/>
    <s v=""/>
    <n v="1"/>
    <n v="1"/>
    <n v="3"/>
    <x v="4"/>
    <n v="1"/>
    <x v="0"/>
    <n v="12.38"/>
  </r>
  <r>
    <s v="T1667"/>
    <x v="3"/>
    <d v="2026-09-15T00:00:00"/>
    <d v="1899-12-30T09:30:00"/>
    <n v="70"/>
    <n v="71"/>
    <n v="3"/>
    <s v="Corridor North"/>
    <n v="18.5"/>
    <n v="22"/>
    <x v="3"/>
    <x v="0"/>
    <n v="0"/>
    <n v="0"/>
    <s v=""/>
    <n v="1"/>
    <n v="1"/>
    <n v="4"/>
    <x v="4"/>
    <n v="1"/>
    <x v="0"/>
    <n v="3.78"/>
  </r>
  <r>
    <s v="T1668"/>
    <x v="1"/>
    <d v="2026-09-24T00:00:00"/>
    <d v="1899-12-30T16:00:00"/>
    <n v="80"/>
    <n v="82"/>
    <n v="3"/>
    <s v="Airport Express"/>
    <n v="32"/>
    <n v="14"/>
    <x v="1"/>
    <x v="4"/>
    <n v="0"/>
    <n v="0"/>
    <s v=""/>
    <n v="1"/>
    <n v="1"/>
    <n v="3"/>
    <x v="2"/>
    <n v="0"/>
    <x v="0"/>
    <n v="2.5"/>
  </r>
  <r>
    <s v="T1669"/>
    <x v="3"/>
    <d v="2026-09-17T00:00:00"/>
    <d v="1899-12-30T13:00:00"/>
    <n v="210"/>
    <n v="195"/>
    <n v="6"/>
    <s v="Corridor North"/>
    <n v="18.5"/>
    <n v="22"/>
    <x v="3"/>
    <x v="4"/>
    <n v="0"/>
    <n v="0"/>
    <s v=""/>
    <n v="1"/>
    <n v="1"/>
    <n v="3"/>
    <x v="5"/>
    <n v="0"/>
    <x v="0"/>
    <n v="11.35"/>
  </r>
  <r>
    <s v="T1670"/>
    <x v="1"/>
    <d v="2026-09-04T00:00:00"/>
    <d v="1899-12-30T13:45:00"/>
    <n v="35"/>
    <n v="41"/>
    <n v="4"/>
    <s v="Airport Express"/>
    <n v="32"/>
    <n v="14"/>
    <x v="1"/>
    <x v="3"/>
    <n v="0"/>
    <n v="0"/>
    <s v=""/>
    <n v="1"/>
    <n v="1"/>
    <n v="4"/>
    <x v="5"/>
    <n v="0"/>
    <x v="0"/>
    <n v="1.0900000000000001"/>
  </r>
  <r>
    <s v="T1671"/>
    <x v="1"/>
    <d v="2026-09-29T00:00:00"/>
    <d v="1899-12-30T07:00:00"/>
    <n v="41"/>
    <n v="48"/>
    <n v="3"/>
    <s v="Airport Express"/>
    <n v="32"/>
    <n v="14"/>
    <x v="1"/>
    <x v="0"/>
    <n v="0"/>
    <n v="0"/>
    <s v=""/>
    <n v="1"/>
    <n v="1"/>
    <n v="17"/>
    <x v="6"/>
    <n v="0"/>
    <x v="0"/>
    <n v="1.28"/>
  </r>
  <r>
    <s v="T1672"/>
    <x v="3"/>
    <d v="2026-09-22T00:00:00"/>
    <d v="1899-12-30T06:45:00"/>
    <n v="66"/>
    <n v="57"/>
    <n v="3"/>
    <s v="Corridor North"/>
    <n v="18.5"/>
    <n v="22"/>
    <x v="3"/>
    <x v="0"/>
    <n v="0"/>
    <n v="0"/>
    <s v=""/>
    <n v="1"/>
    <n v="1"/>
    <n v="1"/>
    <x v="12"/>
    <n v="0"/>
    <x v="0"/>
    <n v="3.57"/>
  </r>
  <r>
    <s v="T1673"/>
    <x v="3"/>
    <d v="2026-09-25T00:00:00"/>
    <d v="1899-12-30T05:45:00"/>
    <n v="124"/>
    <n v="112"/>
    <n v="5"/>
    <s v="Corridor North"/>
    <n v="18.5"/>
    <n v="22"/>
    <x v="3"/>
    <x v="3"/>
    <n v="0"/>
    <n v="0"/>
    <s v=""/>
    <n v="1"/>
    <n v="1"/>
    <n v="4"/>
    <x v="16"/>
    <n v="0"/>
    <x v="0"/>
    <n v="6.7"/>
  </r>
  <r>
    <s v="T1674"/>
    <x v="0"/>
    <d v="2026-09-13T00:00:00"/>
    <d v="1899-12-30T17:30:00"/>
    <n v="88"/>
    <n v="99"/>
    <n v="4"/>
    <s v="Tech Park Shuttle"/>
    <n v="15"/>
    <n v="16"/>
    <x v="0"/>
    <x v="2"/>
    <n v="1"/>
    <n v="0"/>
    <s v=""/>
    <n v="1"/>
    <n v="1"/>
    <n v="1"/>
    <x v="1"/>
    <n v="1"/>
    <x v="0"/>
    <n v="5.87"/>
  </r>
  <r>
    <s v="T1675"/>
    <x v="0"/>
    <d v="2026-09-18T00:00:00"/>
    <d v="1899-12-30T19:45:00"/>
    <n v="81"/>
    <n v="72"/>
    <n v="5"/>
    <s v="Tech Park Shuttle"/>
    <n v="15"/>
    <n v="16"/>
    <x v="0"/>
    <x v="3"/>
    <n v="0"/>
    <n v="0"/>
    <s v=""/>
    <n v="1"/>
    <n v="1"/>
    <n v="4"/>
    <x v="8"/>
    <n v="1"/>
    <x v="0"/>
    <n v="5.4"/>
  </r>
  <r>
    <s v="T1676"/>
    <x v="4"/>
    <d v="2026-09-01T00:00:00"/>
    <d v="1899-12-30T16:15:00"/>
    <n v="88"/>
    <n v="91"/>
    <n v="5"/>
    <s v="Suburban Link"/>
    <n v="24.8"/>
    <n v="28"/>
    <x v="4"/>
    <x v="0"/>
    <n v="0"/>
    <n v="0"/>
    <s v=""/>
    <n v="1"/>
    <n v="1"/>
    <n v="7"/>
    <x v="2"/>
    <n v="0"/>
    <x v="0"/>
    <n v="3.55"/>
  </r>
  <r>
    <s v="T1677"/>
    <x v="2"/>
    <d v="2026-09-16T00:00:00"/>
    <d v="1899-12-30T16:15:00"/>
    <n v="95"/>
    <n v="92"/>
    <n v="5"/>
    <s v="Downtown Loop"/>
    <n v="12.2"/>
    <n v="18"/>
    <x v="2"/>
    <x v="6"/>
    <n v="0"/>
    <n v="0"/>
    <s v=""/>
    <n v="1"/>
    <n v="1"/>
    <n v="8"/>
    <x v="2"/>
    <n v="0"/>
    <x v="0"/>
    <n v="7.79"/>
  </r>
  <r>
    <s v="T1678"/>
    <x v="1"/>
    <d v="2026-09-13T00:00:00"/>
    <d v="1899-12-30T19:30:00"/>
    <n v="139"/>
    <n v="134"/>
    <n v="5"/>
    <s v="Airport Express"/>
    <n v="32"/>
    <n v="14"/>
    <x v="1"/>
    <x v="2"/>
    <n v="1"/>
    <n v="0"/>
    <s v=""/>
    <n v="1"/>
    <n v="1"/>
    <n v="0"/>
    <x v="8"/>
    <n v="1"/>
    <x v="0"/>
    <n v="4.34"/>
  </r>
  <r>
    <s v="T1679"/>
    <x v="3"/>
    <d v="2026-09-10T00:00:00"/>
    <d v="1899-12-30T13:30:00"/>
    <n v="57"/>
    <n v="58"/>
    <n v="2"/>
    <s v="Corridor North"/>
    <n v="18.5"/>
    <n v="22"/>
    <x v="3"/>
    <x v="4"/>
    <n v="0"/>
    <n v="0"/>
    <s v=""/>
    <n v="1"/>
    <n v="1"/>
    <n v="0"/>
    <x v="5"/>
    <n v="0"/>
    <x v="0"/>
    <n v="3.08"/>
  </r>
  <r>
    <s v="T1680"/>
    <x v="0"/>
    <d v="2026-09-12T00:00:00"/>
    <d v="1899-12-30T12:00:00"/>
    <n v="71"/>
    <n v="75"/>
    <n v="4"/>
    <s v="Tech Park Shuttle"/>
    <n v="15"/>
    <n v="16"/>
    <x v="0"/>
    <x v="1"/>
    <n v="1"/>
    <n v="0"/>
    <s v="Tech Expo"/>
    <n v="1"/>
    <n v="1"/>
    <n v="0"/>
    <x v="14"/>
    <n v="0"/>
    <x v="1"/>
    <n v="4.7300000000000004"/>
  </r>
  <r>
    <s v="T1681"/>
    <x v="2"/>
    <d v="2026-09-30T00:00:00"/>
    <d v="1899-12-30T10:45:00"/>
    <n v="73"/>
    <n v="73"/>
    <n v="3"/>
    <s v="Downtown Loop"/>
    <n v="12.2"/>
    <n v="18"/>
    <x v="2"/>
    <x v="6"/>
    <n v="0"/>
    <n v="0"/>
    <s v=""/>
    <n v="1"/>
    <n v="1"/>
    <n v="10"/>
    <x v="3"/>
    <n v="1"/>
    <x v="0"/>
    <n v="5.98"/>
  </r>
  <r>
    <s v="T1682"/>
    <x v="0"/>
    <d v="2026-09-02T00:00:00"/>
    <d v="1899-12-30T08:30:00"/>
    <n v="45"/>
    <n v="39"/>
    <n v="4"/>
    <s v="Tech Park Shuttle"/>
    <n v="15"/>
    <n v="16"/>
    <x v="0"/>
    <x v="6"/>
    <n v="0"/>
    <n v="0"/>
    <s v=""/>
    <n v="1"/>
    <n v="1"/>
    <n v="1"/>
    <x v="13"/>
    <n v="1"/>
    <x v="0"/>
    <n v="3"/>
  </r>
  <r>
    <s v="T1683"/>
    <x v="3"/>
    <d v="2026-09-23T00:00:00"/>
    <d v="1899-12-30T11:45:00"/>
    <n v="101"/>
    <n v="101"/>
    <n v="4"/>
    <s v="Corridor North"/>
    <n v="18.5"/>
    <n v="22"/>
    <x v="3"/>
    <x v="6"/>
    <n v="0"/>
    <n v="0"/>
    <s v=""/>
    <n v="1"/>
    <n v="1"/>
    <n v="4"/>
    <x v="9"/>
    <n v="0"/>
    <x v="0"/>
    <n v="5.46"/>
  </r>
  <r>
    <s v="T1684"/>
    <x v="1"/>
    <d v="2026-09-03T00:00:00"/>
    <d v="1899-12-30T08:15:00"/>
    <n v="68"/>
    <n v="65"/>
    <n v="3"/>
    <s v="Airport Express"/>
    <n v="32"/>
    <n v="14"/>
    <x v="1"/>
    <x v="4"/>
    <n v="0"/>
    <n v="0"/>
    <s v=""/>
    <n v="1"/>
    <n v="1"/>
    <n v="0"/>
    <x v="13"/>
    <n v="1"/>
    <x v="0"/>
    <n v="2.12"/>
  </r>
  <r>
    <s v="T1685"/>
    <x v="3"/>
    <d v="2026-09-10T00:00:00"/>
    <d v="1899-12-30T16:00:00"/>
    <n v="59"/>
    <n v="56"/>
    <n v="3"/>
    <s v="Corridor North"/>
    <n v="18.5"/>
    <n v="22"/>
    <x v="3"/>
    <x v="4"/>
    <n v="0"/>
    <n v="0"/>
    <s v=""/>
    <n v="1"/>
    <n v="1"/>
    <n v="4"/>
    <x v="2"/>
    <n v="0"/>
    <x v="0"/>
    <n v="3.19"/>
  </r>
  <r>
    <s v="T1686"/>
    <x v="4"/>
    <d v="2026-09-02T00:00:00"/>
    <d v="1899-12-30T07:15:00"/>
    <n v="86"/>
    <n v="87"/>
    <n v="4"/>
    <s v="Suburban Link"/>
    <n v="24.8"/>
    <n v="28"/>
    <x v="4"/>
    <x v="6"/>
    <n v="0"/>
    <n v="0"/>
    <s v=""/>
    <n v="1"/>
    <n v="1"/>
    <n v="0"/>
    <x v="6"/>
    <n v="0"/>
    <x v="0"/>
    <n v="3.47"/>
  </r>
  <r>
    <s v="T1687"/>
    <x v="3"/>
    <d v="2026-09-30T00:00:00"/>
    <d v="1899-12-30T16:15:00"/>
    <n v="170"/>
    <n v="164"/>
    <n v="6"/>
    <s v="Corridor North"/>
    <n v="18.5"/>
    <n v="22"/>
    <x v="3"/>
    <x v="6"/>
    <n v="0"/>
    <n v="0"/>
    <s v=""/>
    <n v="1"/>
    <n v="1"/>
    <n v="0"/>
    <x v="2"/>
    <n v="0"/>
    <x v="0"/>
    <n v="9.19"/>
  </r>
  <r>
    <s v="T1688"/>
    <x v="3"/>
    <d v="2026-09-27T00:00:00"/>
    <d v="1899-12-30T06:30:00"/>
    <n v="85"/>
    <n v="92"/>
    <n v="2"/>
    <s v="Corridor North"/>
    <n v="18.5"/>
    <n v="22"/>
    <x v="3"/>
    <x v="2"/>
    <n v="1"/>
    <n v="0"/>
    <s v="Music Fest"/>
    <n v="1"/>
    <n v="1"/>
    <n v="4"/>
    <x v="12"/>
    <n v="0"/>
    <x v="1"/>
    <n v="4.59"/>
  </r>
  <r>
    <s v="T1689"/>
    <x v="4"/>
    <d v="2026-09-23T00:00:00"/>
    <d v="1899-12-30T13:00:00"/>
    <n v="172"/>
    <n v="160"/>
    <n v="5"/>
    <s v="Suburban Link"/>
    <n v="24.8"/>
    <n v="28"/>
    <x v="4"/>
    <x v="6"/>
    <n v="0"/>
    <n v="0"/>
    <s v=""/>
    <n v="1"/>
    <n v="1"/>
    <n v="4"/>
    <x v="5"/>
    <n v="0"/>
    <x v="0"/>
    <n v="6.94"/>
  </r>
  <r>
    <s v="T1690"/>
    <x v="1"/>
    <d v="2026-09-13T00:00:00"/>
    <d v="1899-12-30T12:30:00"/>
    <n v="188"/>
    <n v="187"/>
    <n v="5"/>
    <s v="Airport Express"/>
    <n v="32"/>
    <n v="14"/>
    <x v="1"/>
    <x v="2"/>
    <n v="1"/>
    <n v="0"/>
    <s v=""/>
    <n v="1"/>
    <n v="1"/>
    <n v="1"/>
    <x v="14"/>
    <n v="0"/>
    <x v="0"/>
    <n v="5.88"/>
  </r>
  <r>
    <s v="T1691"/>
    <x v="3"/>
    <d v="2026-09-13T00:00:00"/>
    <d v="1899-12-30T10:15:00"/>
    <n v="167"/>
    <n v="172"/>
    <n v="7"/>
    <s v="Corridor North"/>
    <n v="18.5"/>
    <n v="22"/>
    <x v="3"/>
    <x v="2"/>
    <n v="1"/>
    <n v="0"/>
    <s v=""/>
    <n v="1"/>
    <n v="1"/>
    <n v="4"/>
    <x v="3"/>
    <n v="1"/>
    <x v="0"/>
    <n v="9.0299999999999994"/>
  </r>
  <r>
    <s v="T1692"/>
    <x v="4"/>
    <d v="2026-09-18T00:00:00"/>
    <d v="1899-12-30T22:00:00"/>
    <n v="145"/>
    <n v="156"/>
    <n v="6"/>
    <s v="Suburban Link"/>
    <n v="24.8"/>
    <n v="28"/>
    <x v="4"/>
    <x v="3"/>
    <n v="0"/>
    <n v="0"/>
    <s v=""/>
    <n v="1"/>
    <n v="1"/>
    <n v="4"/>
    <x v="11"/>
    <n v="0"/>
    <x v="0"/>
    <n v="5.85"/>
  </r>
  <r>
    <s v="T1693"/>
    <x v="2"/>
    <d v="2026-09-03T00:00:00"/>
    <d v="1899-12-30T16:15:00"/>
    <n v="217"/>
    <n v="231"/>
    <n v="7"/>
    <s v="Downtown Loop"/>
    <n v="12.2"/>
    <n v="18"/>
    <x v="2"/>
    <x v="4"/>
    <n v="0"/>
    <n v="0"/>
    <s v=""/>
    <n v="1"/>
    <n v="1"/>
    <n v="2"/>
    <x v="2"/>
    <n v="0"/>
    <x v="0"/>
    <n v="17.79"/>
  </r>
  <r>
    <s v="T1694"/>
    <x v="1"/>
    <d v="2026-09-27T00:00:00"/>
    <d v="1899-12-30T12:30:00"/>
    <n v="164"/>
    <n v="162"/>
    <n v="5"/>
    <s v="Airport Express"/>
    <n v="32"/>
    <n v="14"/>
    <x v="1"/>
    <x v="2"/>
    <n v="1"/>
    <n v="0"/>
    <s v="Music Fest"/>
    <n v="1"/>
    <n v="1"/>
    <n v="2"/>
    <x v="14"/>
    <n v="0"/>
    <x v="1"/>
    <n v="5.12"/>
  </r>
  <r>
    <s v="T1695"/>
    <x v="1"/>
    <d v="2026-09-07T00:00:00"/>
    <d v="1899-12-30T14:00:00"/>
    <n v="70"/>
    <n v="56"/>
    <n v="4"/>
    <s v="Airport Express"/>
    <n v="32"/>
    <n v="14"/>
    <x v="1"/>
    <x v="5"/>
    <n v="0"/>
    <n v="0"/>
    <s v=""/>
    <n v="1"/>
    <n v="1"/>
    <n v="3"/>
    <x v="7"/>
    <n v="0"/>
    <x v="0"/>
    <n v="2.19"/>
  </r>
  <r>
    <s v="T1696"/>
    <x v="3"/>
    <d v="2026-09-14T00:00:00"/>
    <d v="1899-12-30T17:00:00"/>
    <n v="100"/>
    <n v="104"/>
    <n v="4"/>
    <s v="Corridor North"/>
    <n v="18.5"/>
    <n v="22"/>
    <x v="3"/>
    <x v="5"/>
    <n v="0"/>
    <n v="0"/>
    <s v=""/>
    <n v="1"/>
    <n v="1"/>
    <n v="3"/>
    <x v="1"/>
    <n v="1"/>
    <x v="0"/>
    <n v="5.41"/>
  </r>
  <r>
    <s v="T1697"/>
    <x v="1"/>
    <d v="2026-09-20T00:00:00"/>
    <d v="1899-12-30T07:45:00"/>
    <n v="107"/>
    <n v="109"/>
    <n v="5"/>
    <s v="Airport Express"/>
    <n v="32"/>
    <n v="14"/>
    <x v="1"/>
    <x v="2"/>
    <n v="1"/>
    <n v="0"/>
    <s v="Marathon"/>
    <n v="1"/>
    <n v="1"/>
    <n v="8"/>
    <x v="6"/>
    <n v="0"/>
    <x v="1"/>
    <n v="3.34"/>
  </r>
  <r>
    <s v="T1698"/>
    <x v="1"/>
    <d v="2026-09-29T00:00:00"/>
    <d v="1899-12-30T18:30:00"/>
    <n v="78"/>
    <n v="85"/>
    <n v="3"/>
    <s v="Airport Express"/>
    <n v="32"/>
    <n v="14"/>
    <x v="1"/>
    <x v="0"/>
    <n v="0"/>
    <n v="0"/>
    <s v=""/>
    <n v="1"/>
    <n v="1"/>
    <n v="9"/>
    <x v="0"/>
    <n v="1"/>
    <x v="0"/>
    <n v="2.44"/>
  </r>
  <r>
    <s v="T1699"/>
    <x v="2"/>
    <d v="2026-09-30T00:00:00"/>
    <d v="1899-12-30T20:00:00"/>
    <n v="144"/>
    <n v="143"/>
    <n v="6"/>
    <s v="Downtown Loop"/>
    <n v="12.2"/>
    <n v="18"/>
    <x v="2"/>
    <x v="6"/>
    <n v="0"/>
    <n v="0"/>
    <s v=""/>
    <n v="1"/>
    <n v="1"/>
    <n v="1"/>
    <x v="15"/>
    <n v="0"/>
    <x v="0"/>
    <n v="11.8"/>
  </r>
  <r>
    <s v="T1700"/>
    <x v="3"/>
    <d v="2026-09-17T00:00:00"/>
    <d v="1899-12-30T21:00:00"/>
    <n v="112"/>
    <n v="110"/>
    <n v="5"/>
    <s v="Corridor North"/>
    <n v="18.5"/>
    <n v="22"/>
    <x v="3"/>
    <x v="4"/>
    <n v="0"/>
    <n v="0"/>
    <s v=""/>
    <n v="1"/>
    <n v="1"/>
    <n v="1"/>
    <x v="10"/>
    <n v="0"/>
    <x v="0"/>
    <n v="6.05"/>
  </r>
  <r>
    <s v="T1701"/>
    <x v="1"/>
    <d v="2026-09-29T00:00:00"/>
    <d v="1899-12-30T10:00:00"/>
    <n v="57"/>
    <n v="58"/>
    <n v="3"/>
    <s v="Airport Express"/>
    <n v="32"/>
    <n v="14"/>
    <x v="1"/>
    <x v="0"/>
    <n v="0"/>
    <n v="0"/>
    <s v=""/>
    <n v="1"/>
    <n v="1"/>
    <n v="13"/>
    <x v="3"/>
    <n v="1"/>
    <x v="0"/>
    <n v="1.78"/>
  </r>
  <r>
    <s v="T1702"/>
    <x v="1"/>
    <d v="2026-09-30T00:00:00"/>
    <d v="1899-12-30T18:00:00"/>
    <n v="117"/>
    <n v="112"/>
    <n v="5"/>
    <s v="Airport Express"/>
    <n v="32"/>
    <n v="14"/>
    <x v="1"/>
    <x v="6"/>
    <n v="0"/>
    <n v="0"/>
    <s v=""/>
    <n v="1"/>
    <n v="1"/>
    <n v="0"/>
    <x v="0"/>
    <n v="1"/>
    <x v="0"/>
    <n v="3.66"/>
  </r>
  <r>
    <s v="T1703"/>
    <x v="3"/>
    <d v="2026-09-21T00:00:00"/>
    <d v="1899-12-30T12:30:00"/>
    <n v="162"/>
    <n v="154"/>
    <n v="6"/>
    <s v="Corridor North"/>
    <n v="18.5"/>
    <n v="22"/>
    <x v="3"/>
    <x v="5"/>
    <n v="0"/>
    <n v="0"/>
    <s v=""/>
    <n v="1"/>
    <n v="1"/>
    <n v="6"/>
    <x v="14"/>
    <n v="0"/>
    <x v="0"/>
    <n v="8.76"/>
  </r>
  <r>
    <s v="T1704"/>
    <x v="0"/>
    <d v="2026-09-12T00:00:00"/>
    <d v="1899-12-30T05:15:00"/>
    <n v="114"/>
    <n v="114"/>
    <n v="4"/>
    <s v="Tech Park Shuttle"/>
    <n v="15"/>
    <n v="16"/>
    <x v="0"/>
    <x v="1"/>
    <n v="1"/>
    <n v="0"/>
    <s v="Tech Expo"/>
    <n v="1"/>
    <n v="1"/>
    <n v="4"/>
    <x v="16"/>
    <n v="0"/>
    <x v="1"/>
    <n v="7.6"/>
  </r>
  <r>
    <s v="T1705"/>
    <x v="1"/>
    <d v="2026-09-25T00:00:00"/>
    <d v="1899-12-30T11:00:00"/>
    <n v="89"/>
    <n v="85"/>
    <n v="3"/>
    <s v="Airport Express"/>
    <n v="32"/>
    <n v="14"/>
    <x v="1"/>
    <x v="3"/>
    <n v="0"/>
    <n v="0"/>
    <s v=""/>
    <n v="1"/>
    <n v="1"/>
    <n v="3"/>
    <x v="9"/>
    <n v="0"/>
    <x v="0"/>
    <n v="2.78"/>
  </r>
  <r>
    <s v="T1706"/>
    <x v="4"/>
    <d v="2026-09-16T00:00:00"/>
    <d v="1899-12-30T21:45:00"/>
    <n v="108"/>
    <n v="101"/>
    <n v="6"/>
    <s v="Suburban Link"/>
    <n v="24.8"/>
    <n v="28"/>
    <x v="4"/>
    <x v="6"/>
    <n v="0"/>
    <n v="0"/>
    <s v=""/>
    <n v="1"/>
    <n v="1"/>
    <n v="2"/>
    <x v="10"/>
    <n v="0"/>
    <x v="0"/>
    <n v="4.3499999999999996"/>
  </r>
  <r>
    <s v="T1707"/>
    <x v="0"/>
    <d v="2026-09-24T00:00:00"/>
    <d v="1899-12-30T14:30:00"/>
    <n v="101"/>
    <n v="95"/>
    <n v="4"/>
    <s v="Tech Park Shuttle"/>
    <n v="15"/>
    <n v="16"/>
    <x v="0"/>
    <x v="4"/>
    <n v="0"/>
    <n v="0"/>
    <s v=""/>
    <n v="1"/>
    <n v="1"/>
    <n v="1"/>
    <x v="7"/>
    <n v="0"/>
    <x v="0"/>
    <n v="6.73"/>
  </r>
  <r>
    <s v="T1708"/>
    <x v="1"/>
    <d v="2026-09-12T00:00:00"/>
    <d v="1899-12-30T13:00:00"/>
    <n v="165"/>
    <n v="161"/>
    <n v="7"/>
    <s v="Airport Express"/>
    <n v="32"/>
    <n v="14"/>
    <x v="1"/>
    <x v="1"/>
    <n v="1"/>
    <n v="0"/>
    <s v="Tech Expo"/>
    <n v="1"/>
    <n v="1"/>
    <n v="8"/>
    <x v="5"/>
    <n v="0"/>
    <x v="1"/>
    <n v="5.16"/>
  </r>
  <r>
    <s v="T1709"/>
    <x v="1"/>
    <d v="2026-09-15T00:00:00"/>
    <d v="1899-12-30T09:00:00"/>
    <n v="99"/>
    <n v="98"/>
    <n v="4"/>
    <s v="Airport Express"/>
    <n v="32"/>
    <n v="14"/>
    <x v="1"/>
    <x v="0"/>
    <n v="0"/>
    <n v="0"/>
    <s v=""/>
    <n v="1"/>
    <n v="1"/>
    <n v="10"/>
    <x v="4"/>
    <n v="1"/>
    <x v="0"/>
    <n v="3.09"/>
  </r>
  <r>
    <s v="T1710"/>
    <x v="3"/>
    <d v="2026-09-25T00:00:00"/>
    <d v="1899-12-30T13:00:00"/>
    <n v="168"/>
    <n v="161"/>
    <n v="6"/>
    <s v="Corridor North"/>
    <n v="18.5"/>
    <n v="22"/>
    <x v="3"/>
    <x v="3"/>
    <n v="0"/>
    <n v="0"/>
    <s v=""/>
    <n v="1"/>
    <n v="1"/>
    <n v="16"/>
    <x v="5"/>
    <n v="0"/>
    <x v="0"/>
    <n v="9.08"/>
  </r>
  <r>
    <s v="T1711"/>
    <x v="0"/>
    <d v="2026-09-10T00:00:00"/>
    <d v="1899-12-30T11:30:00"/>
    <n v="18"/>
    <n v="16"/>
    <n v="2"/>
    <s v="Tech Park Shuttle"/>
    <n v="15"/>
    <n v="16"/>
    <x v="0"/>
    <x v="4"/>
    <n v="0"/>
    <n v="0"/>
    <s v=""/>
    <n v="1"/>
    <n v="1"/>
    <n v="0"/>
    <x v="9"/>
    <n v="0"/>
    <x v="0"/>
    <n v="1.2"/>
  </r>
  <r>
    <s v="T1712"/>
    <x v="2"/>
    <d v="2026-09-30T00:00:00"/>
    <d v="1899-12-30T13:30:00"/>
    <n v="106"/>
    <n v="117"/>
    <n v="5"/>
    <s v="Downtown Loop"/>
    <n v="12.2"/>
    <n v="18"/>
    <x v="2"/>
    <x v="6"/>
    <n v="0"/>
    <n v="0"/>
    <s v=""/>
    <n v="1"/>
    <n v="1"/>
    <n v="9"/>
    <x v="5"/>
    <n v="0"/>
    <x v="0"/>
    <n v="8.69"/>
  </r>
  <r>
    <s v="T1713"/>
    <x v="2"/>
    <d v="2026-09-25T00:00:00"/>
    <d v="1899-12-30T17:45:00"/>
    <n v="35"/>
    <n v="35"/>
    <n v="4"/>
    <s v="Downtown Loop"/>
    <n v="12.2"/>
    <n v="18"/>
    <x v="2"/>
    <x v="3"/>
    <n v="0"/>
    <n v="0"/>
    <s v=""/>
    <n v="1"/>
    <n v="1"/>
    <n v="3"/>
    <x v="1"/>
    <n v="1"/>
    <x v="0"/>
    <n v="2.87"/>
  </r>
  <r>
    <s v="T1714"/>
    <x v="1"/>
    <d v="2026-09-07T00:00:00"/>
    <d v="1899-12-30T15:15:00"/>
    <n v="103"/>
    <n v="98"/>
    <n v="6"/>
    <s v="Airport Express"/>
    <n v="32"/>
    <n v="14"/>
    <x v="1"/>
    <x v="5"/>
    <n v="0"/>
    <n v="0"/>
    <s v=""/>
    <n v="1"/>
    <n v="1"/>
    <n v="0"/>
    <x v="17"/>
    <n v="0"/>
    <x v="0"/>
    <n v="3.22"/>
  </r>
  <r>
    <s v="T1715"/>
    <x v="1"/>
    <d v="2026-09-20T00:00:00"/>
    <d v="1899-12-30T15:00:00"/>
    <n v="105"/>
    <n v="98"/>
    <n v="3"/>
    <s v="Airport Express"/>
    <n v="32"/>
    <n v="14"/>
    <x v="1"/>
    <x v="2"/>
    <n v="1"/>
    <n v="0"/>
    <s v="Marathon"/>
    <n v="1"/>
    <n v="1"/>
    <n v="3"/>
    <x v="17"/>
    <n v="0"/>
    <x v="1"/>
    <n v="3.28"/>
  </r>
  <r>
    <s v="T1716"/>
    <x v="3"/>
    <d v="2026-09-05T00:00:00"/>
    <d v="1899-12-30T18:00:00"/>
    <n v="128"/>
    <n v="127"/>
    <n v="6"/>
    <s v="Corridor North"/>
    <n v="18.5"/>
    <n v="22"/>
    <x v="3"/>
    <x v="1"/>
    <n v="1"/>
    <n v="1"/>
    <s v=""/>
    <n v="1"/>
    <n v="1"/>
    <n v="6"/>
    <x v="0"/>
    <n v="1"/>
    <x v="0"/>
    <n v="6.92"/>
  </r>
  <r>
    <s v="T1717"/>
    <x v="1"/>
    <d v="2026-09-01T00:00:00"/>
    <d v="1899-12-30T05:45:00"/>
    <n v="72"/>
    <n v="80"/>
    <n v="5"/>
    <s v="Airport Express"/>
    <n v="32"/>
    <n v="14"/>
    <x v="1"/>
    <x v="0"/>
    <n v="0"/>
    <n v="0"/>
    <s v=""/>
    <n v="1"/>
    <n v="1"/>
    <n v="0"/>
    <x v="16"/>
    <n v="0"/>
    <x v="0"/>
    <n v="2.25"/>
  </r>
  <r>
    <s v="T1718"/>
    <x v="1"/>
    <d v="2026-09-30T00:00:00"/>
    <d v="1899-12-30T16:30:00"/>
    <n v="109"/>
    <n v="104"/>
    <n v="6"/>
    <s v="Airport Express"/>
    <n v="32"/>
    <n v="14"/>
    <x v="1"/>
    <x v="6"/>
    <n v="0"/>
    <n v="0"/>
    <s v=""/>
    <n v="1"/>
    <n v="1"/>
    <n v="3"/>
    <x v="2"/>
    <n v="0"/>
    <x v="0"/>
    <n v="3.41"/>
  </r>
  <r>
    <s v="T1719"/>
    <x v="2"/>
    <d v="2026-09-17T00:00:00"/>
    <d v="1899-12-30T16:45:00"/>
    <n v="48"/>
    <n v="47"/>
    <n v="3"/>
    <s v="Downtown Loop"/>
    <n v="12.2"/>
    <n v="18"/>
    <x v="2"/>
    <x v="4"/>
    <n v="0"/>
    <n v="0"/>
    <s v=""/>
    <n v="1"/>
    <n v="1"/>
    <n v="4"/>
    <x v="2"/>
    <n v="0"/>
    <x v="0"/>
    <n v="3.93"/>
  </r>
  <r>
    <s v="T1720"/>
    <x v="1"/>
    <d v="2026-09-03T00:00:00"/>
    <d v="1899-12-30T12:00:00"/>
    <n v="96"/>
    <n v="100"/>
    <n v="4"/>
    <s v="Airport Express"/>
    <n v="32"/>
    <n v="14"/>
    <x v="1"/>
    <x v="4"/>
    <n v="0"/>
    <n v="0"/>
    <s v=""/>
    <n v="1"/>
    <n v="1"/>
    <n v="5"/>
    <x v="14"/>
    <n v="0"/>
    <x v="0"/>
    <n v="3"/>
  </r>
  <r>
    <s v="T1721"/>
    <x v="2"/>
    <d v="2026-09-13T00:00:00"/>
    <d v="1899-12-30T17:45:00"/>
    <n v="103"/>
    <n v="103"/>
    <n v="3"/>
    <s v="Downtown Loop"/>
    <n v="12.2"/>
    <n v="18"/>
    <x v="2"/>
    <x v="2"/>
    <n v="1"/>
    <n v="0"/>
    <s v=""/>
    <n v="1"/>
    <n v="1"/>
    <n v="4"/>
    <x v="1"/>
    <n v="1"/>
    <x v="0"/>
    <n v="8.44"/>
  </r>
  <r>
    <s v="T1722"/>
    <x v="0"/>
    <d v="2026-09-14T00:00:00"/>
    <d v="1899-12-30T20:00:00"/>
    <n v="184"/>
    <n v="181"/>
    <n v="7"/>
    <s v="Tech Park Shuttle"/>
    <n v="15"/>
    <n v="16"/>
    <x v="0"/>
    <x v="5"/>
    <n v="0"/>
    <n v="0"/>
    <s v=""/>
    <n v="1"/>
    <n v="1"/>
    <n v="8"/>
    <x v="15"/>
    <n v="0"/>
    <x v="0"/>
    <n v="12.27"/>
  </r>
  <r>
    <s v="T1723"/>
    <x v="3"/>
    <d v="2026-09-24T00:00:00"/>
    <d v="1899-12-30T17:15:00"/>
    <n v="179"/>
    <n v="178"/>
    <n v="6"/>
    <s v="Corridor North"/>
    <n v="18.5"/>
    <n v="22"/>
    <x v="3"/>
    <x v="4"/>
    <n v="0"/>
    <n v="0"/>
    <s v=""/>
    <n v="1"/>
    <n v="1"/>
    <n v="0"/>
    <x v="1"/>
    <n v="1"/>
    <x v="0"/>
    <n v="9.68"/>
  </r>
  <r>
    <s v="T1724"/>
    <x v="0"/>
    <d v="2026-09-30T00:00:00"/>
    <d v="1899-12-30T11:45:00"/>
    <n v="38"/>
    <n v="42"/>
    <n v="3"/>
    <s v="Tech Park Shuttle"/>
    <n v="15"/>
    <n v="16"/>
    <x v="0"/>
    <x v="6"/>
    <n v="0"/>
    <n v="0"/>
    <s v=""/>
    <n v="1"/>
    <n v="1"/>
    <n v="4"/>
    <x v="9"/>
    <n v="0"/>
    <x v="0"/>
    <n v="2.5299999999999998"/>
  </r>
  <r>
    <s v="T1725"/>
    <x v="2"/>
    <d v="2026-09-18T00:00:00"/>
    <d v="1899-12-30T09:45:00"/>
    <n v="94"/>
    <n v="92"/>
    <n v="3"/>
    <s v="Downtown Loop"/>
    <n v="12.2"/>
    <n v="18"/>
    <x v="2"/>
    <x v="3"/>
    <n v="0"/>
    <n v="0"/>
    <s v=""/>
    <n v="1"/>
    <n v="1"/>
    <n v="6"/>
    <x v="4"/>
    <n v="1"/>
    <x v="0"/>
    <n v="7.7"/>
  </r>
  <r>
    <s v="T1726"/>
    <x v="2"/>
    <d v="2026-09-04T00:00:00"/>
    <d v="1899-12-30T18:30:00"/>
    <n v="59"/>
    <n v="61"/>
    <n v="5"/>
    <s v="Downtown Loop"/>
    <n v="12.2"/>
    <n v="18"/>
    <x v="2"/>
    <x v="3"/>
    <n v="0"/>
    <n v="0"/>
    <s v=""/>
    <n v="1"/>
    <n v="1"/>
    <n v="3"/>
    <x v="0"/>
    <n v="1"/>
    <x v="0"/>
    <n v="4.84"/>
  </r>
  <r>
    <s v="T1727"/>
    <x v="3"/>
    <d v="2026-09-18T00:00:00"/>
    <d v="1899-12-30T17:30:00"/>
    <n v="139"/>
    <n v="140"/>
    <n v="5"/>
    <s v="Corridor North"/>
    <n v="18.5"/>
    <n v="22"/>
    <x v="3"/>
    <x v="3"/>
    <n v="0"/>
    <n v="0"/>
    <s v=""/>
    <n v="1"/>
    <n v="1"/>
    <n v="16"/>
    <x v="1"/>
    <n v="1"/>
    <x v="0"/>
    <n v="7.51"/>
  </r>
  <r>
    <s v="T1728"/>
    <x v="3"/>
    <d v="2026-09-30T00:00:00"/>
    <d v="1899-12-30T21:30:00"/>
    <n v="125"/>
    <n v="130"/>
    <n v="4"/>
    <s v="Corridor North"/>
    <n v="18.5"/>
    <n v="22"/>
    <x v="3"/>
    <x v="6"/>
    <n v="0"/>
    <n v="0"/>
    <s v=""/>
    <n v="1"/>
    <n v="1"/>
    <n v="7"/>
    <x v="10"/>
    <n v="0"/>
    <x v="0"/>
    <n v="6.76"/>
  </r>
  <r>
    <s v="T1729"/>
    <x v="0"/>
    <d v="2026-09-05T00:00:00"/>
    <d v="1899-12-30T22:15:00"/>
    <n v="124"/>
    <n v="126"/>
    <n v="5"/>
    <s v="Tech Park Shuttle"/>
    <n v="15"/>
    <n v="16"/>
    <x v="0"/>
    <x v="1"/>
    <n v="1"/>
    <n v="1"/>
    <s v=""/>
    <n v="1"/>
    <n v="1"/>
    <n v="0"/>
    <x v="11"/>
    <n v="0"/>
    <x v="0"/>
    <n v="8.27"/>
  </r>
  <r>
    <s v="T1730"/>
    <x v="4"/>
    <d v="2026-09-25T00:00:00"/>
    <d v="1899-12-30T06:45:00"/>
    <n v="53"/>
    <n v="53"/>
    <n v="4"/>
    <s v="Suburban Link"/>
    <n v="24.8"/>
    <n v="28"/>
    <x v="4"/>
    <x v="3"/>
    <n v="0"/>
    <n v="0"/>
    <s v=""/>
    <n v="1"/>
    <n v="1"/>
    <n v="0"/>
    <x v="12"/>
    <n v="0"/>
    <x v="0"/>
    <n v="2.14"/>
  </r>
  <r>
    <s v="T1731"/>
    <x v="0"/>
    <d v="2026-09-16T00:00:00"/>
    <d v="1899-12-30T05:30:00"/>
    <n v="156"/>
    <n v="159"/>
    <n v="7"/>
    <s v="Tech Park Shuttle"/>
    <n v="15"/>
    <n v="16"/>
    <x v="0"/>
    <x v="6"/>
    <n v="0"/>
    <n v="0"/>
    <s v=""/>
    <n v="1"/>
    <n v="1"/>
    <n v="5"/>
    <x v="16"/>
    <n v="0"/>
    <x v="0"/>
    <n v="10.4"/>
  </r>
  <r>
    <s v="T1732"/>
    <x v="3"/>
    <d v="2026-09-01T00:00:00"/>
    <d v="1899-12-30T08:15:00"/>
    <n v="42"/>
    <n v="29"/>
    <n v="4"/>
    <s v="Corridor North"/>
    <n v="18.5"/>
    <n v="22"/>
    <x v="3"/>
    <x v="0"/>
    <n v="0"/>
    <n v="0"/>
    <s v=""/>
    <n v="1"/>
    <n v="1"/>
    <n v="4"/>
    <x v="13"/>
    <n v="1"/>
    <x v="0"/>
    <n v="2.27"/>
  </r>
  <r>
    <s v="T1733"/>
    <x v="2"/>
    <d v="2026-09-21T00:00:00"/>
    <d v="1899-12-30T09:30:00"/>
    <n v="146"/>
    <n v="138"/>
    <n v="6"/>
    <s v="Downtown Loop"/>
    <n v="12.2"/>
    <n v="18"/>
    <x v="2"/>
    <x v="5"/>
    <n v="0"/>
    <n v="0"/>
    <s v=""/>
    <n v="1"/>
    <n v="1"/>
    <n v="8"/>
    <x v="4"/>
    <n v="1"/>
    <x v="0"/>
    <n v="11.97"/>
  </r>
  <r>
    <s v="T1734"/>
    <x v="1"/>
    <d v="2026-09-14T00:00:00"/>
    <d v="1899-12-30T19:45:00"/>
    <n v="101"/>
    <n v="92"/>
    <n v="6"/>
    <s v="Airport Express"/>
    <n v="32"/>
    <n v="14"/>
    <x v="1"/>
    <x v="5"/>
    <n v="0"/>
    <n v="0"/>
    <s v=""/>
    <n v="1"/>
    <n v="1"/>
    <n v="4"/>
    <x v="8"/>
    <n v="1"/>
    <x v="0"/>
    <n v="3.16"/>
  </r>
  <r>
    <s v="T1735"/>
    <x v="0"/>
    <d v="2026-09-15T00:00:00"/>
    <d v="1899-12-30T12:45:00"/>
    <n v="153"/>
    <n v="142"/>
    <n v="6"/>
    <s v="Tech Park Shuttle"/>
    <n v="15"/>
    <n v="16"/>
    <x v="0"/>
    <x v="0"/>
    <n v="0"/>
    <n v="0"/>
    <s v=""/>
    <n v="1"/>
    <n v="1"/>
    <n v="15"/>
    <x v="14"/>
    <n v="0"/>
    <x v="0"/>
    <n v="10.199999999999999"/>
  </r>
  <r>
    <s v="T1736"/>
    <x v="2"/>
    <d v="2026-09-09T00:00:00"/>
    <d v="1899-12-30T21:00:00"/>
    <n v="123"/>
    <n v="120"/>
    <n v="4"/>
    <s v="Downtown Loop"/>
    <n v="12.2"/>
    <n v="18"/>
    <x v="2"/>
    <x v="6"/>
    <n v="0"/>
    <n v="0"/>
    <s v=""/>
    <n v="1"/>
    <n v="1"/>
    <n v="7"/>
    <x v="10"/>
    <n v="0"/>
    <x v="0"/>
    <n v="10.08"/>
  </r>
  <r>
    <s v="T1737"/>
    <x v="1"/>
    <d v="2026-09-15T00:00:00"/>
    <d v="1899-12-30T16:15:00"/>
    <n v="133"/>
    <n v="138"/>
    <n v="5"/>
    <s v="Airport Express"/>
    <n v="32"/>
    <n v="14"/>
    <x v="1"/>
    <x v="0"/>
    <n v="0"/>
    <n v="0"/>
    <s v=""/>
    <n v="1"/>
    <n v="1"/>
    <n v="0"/>
    <x v="2"/>
    <n v="0"/>
    <x v="0"/>
    <n v="4.16"/>
  </r>
  <r>
    <s v="T1738"/>
    <x v="1"/>
    <d v="2026-09-17T00:00:00"/>
    <d v="1899-12-30T19:00:00"/>
    <n v="16"/>
    <n v="12"/>
    <n v="3"/>
    <s v="Airport Express"/>
    <n v="32"/>
    <n v="14"/>
    <x v="1"/>
    <x v="4"/>
    <n v="0"/>
    <n v="0"/>
    <s v=""/>
    <n v="1"/>
    <n v="1"/>
    <n v="2"/>
    <x v="8"/>
    <n v="1"/>
    <x v="0"/>
    <n v="0.5"/>
  </r>
  <r>
    <s v="T1739"/>
    <x v="3"/>
    <d v="2026-09-25T00:00:00"/>
    <d v="1899-12-30T11:15:00"/>
    <n v="98"/>
    <n v="99"/>
    <n v="5"/>
    <s v="Corridor North"/>
    <n v="18.5"/>
    <n v="22"/>
    <x v="3"/>
    <x v="3"/>
    <n v="0"/>
    <n v="0"/>
    <s v=""/>
    <n v="1"/>
    <n v="1"/>
    <n v="5"/>
    <x v="9"/>
    <n v="0"/>
    <x v="0"/>
    <n v="5.3"/>
  </r>
  <r>
    <s v="T1740"/>
    <x v="0"/>
    <d v="2026-09-24T00:00:00"/>
    <d v="1899-12-30T13:15:00"/>
    <n v="75"/>
    <n v="73"/>
    <n v="4"/>
    <s v="Tech Park Shuttle"/>
    <n v="15"/>
    <n v="16"/>
    <x v="0"/>
    <x v="4"/>
    <n v="0"/>
    <n v="0"/>
    <s v=""/>
    <n v="1"/>
    <n v="1"/>
    <n v="6"/>
    <x v="5"/>
    <n v="0"/>
    <x v="0"/>
    <n v="5"/>
  </r>
  <r>
    <s v="T1741"/>
    <x v="1"/>
    <d v="2026-09-04T00:00:00"/>
    <d v="1899-12-30T06:30:00"/>
    <n v="102"/>
    <n v="96"/>
    <n v="3"/>
    <s v="Airport Express"/>
    <n v="32"/>
    <n v="14"/>
    <x v="1"/>
    <x v="3"/>
    <n v="0"/>
    <n v="0"/>
    <s v=""/>
    <n v="1"/>
    <n v="1"/>
    <n v="0"/>
    <x v="12"/>
    <n v="0"/>
    <x v="0"/>
    <n v="3.19"/>
  </r>
  <r>
    <s v="T1742"/>
    <x v="3"/>
    <d v="2026-09-12T00:00:00"/>
    <d v="1899-12-30T15:00:00"/>
    <n v="74"/>
    <n v="90"/>
    <n v="6"/>
    <s v="Corridor North"/>
    <n v="18.5"/>
    <n v="22"/>
    <x v="3"/>
    <x v="1"/>
    <n v="1"/>
    <n v="0"/>
    <s v="Tech Expo"/>
    <n v="1"/>
    <n v="1"/>
    <n v="4"/>
    <x v="17"/>
    <n v="0"/>
    <x v="1"/>
    <n v="4"/>
  </r>
  <r>
    <s v="T1743"/>
    <x v="3"/>
    <d v="2026-09-27T00:00:00"/>
    <d v="1899-12-30T14:15:00"/>
    <n v="141"/>
    <n v="128"/>
    <n v="6"/>
    <s v="Corridor North"/>
    <n v="18.5"/>
    <n v="22"/>
    <x v="3"/>
    <x v="2"/>
    <n v="1"/>
    <n v="0"/>
    <s v="Music Fest"/>
    <n v="1"/>
    <n v="1"/>
    <n v="2"/>
    <x v="7"/>
    <n v="0"/>
    <x v="1"/>
    <n v="7.62"/>
  </r>
  <r>
    <s v="T1744"/>
    <x v="3"/>
    <d v="2026-09-26T00:00:00"/>
    <d v="1899-12-30T22:30:00"/>
    <n v="114"/>
    <n v="113"/>
    <n v="5"/>
    <s v="Corridor North"/>
    <n v="18.5"/>
    <n v="22"/>
    <x v="3"/>
    <x v="1"/>
    <n v="1"/>
    <n v="0"/>
    <s v=""/>
    <n v="1"/>
    <n v="1"/>
    <n v="0"/>
    <x v="11"/>
    <n v="0"/>
    <x v="0"/>
    <n v="6.16"/>
  </r>
  <r>
    <s v="T1745"/>
    <x v="1"/>
    <d v="2026-09-05T00:00:00"/>
    <d v="1899-12-30T13:00:00"/>
    <n v="56"/>
    <n v="62"/>
    <n v="3"/>
    <s v="Airport Express"/>
    <n v="32"/>
    <n v="14"/>
    <x v="1"/>
    <x v="1"/>
    <n v="1"/>
    <n v="1"/>
    <s v=""/>
    <n v="1"/>
    <n v="1"/>
    <n v="5"/>
    <x v="5"/>
    <n v="0"/>
    <x v="0"/>
    <n v="1.75"/>
  </r>
  <r>
    <s v="T1746"/>
    <x v="3"/>
    <d v="2026-09-29T00:00:00"/>
    <d v="1899-12-30T11:45:00"/>
    <n v="32"/>
    <n v="33"/>
    <n v="3"/>
    <s v="Corridor North"/>
    <n v="18.5"/>
    <n v="22"/>
    <x v="3"/>
    <x v="0"/>
    <n v="0"/>
    <n v="0"/>
    <s v=""/>
    <n v="1"/>
    <n v="1"/>
    <n v="9"/>
    <x v="9"/>
    <n v="0"/>
    <x v="0"/>
    <n v="1.73"/>
  </r>
  <r>
    <s v="T1747"/>
    <x v="2"/>
    <d v="2026-09-05T00:00:00"/>
    <d v="1899-12-30T07:45:00"/>
    <n v="132"/>
    <n v="129"/>
    <n v="4"/>
    <s v="Downtown Loop"/>
    <n v="12.2"/>
    <n v="18"/>
    <x v="2"/>
    <x v="1"/>
    <n v="1"/>
    <n v="1"/>
    <s v=""/>
    <n v="1"/>
    <n v="1"/>
    <n v="8"/>
    <x v="6"/>
    <n v="0"/>
    <x v="0"/>
    <n v="10.82"/>
  </r>
  <r>
    <s v="T1748"/>
    <x v="4"/>
    <d v="2026-09-11T00:00:00"/>
    <d v="1899-12-30T10:30:00"/>
    <n v="157"/>
    <n v="157"/>
    <n v="5"/>
    <s v="Suburban Link"/>
    <n v="24.8"/>
    <n v="28"/>
    <x v="4"/>
    <x v="3"/>
    <n v="0"/>
    <n v="0"/>
    <s v=""/>
    <n v="1"/>
    <n v="1"/>
    <n v="4"/>
    <x v="3"/>
    <n v="1"/>
    <x v="0"/>
    <n v="6.33"/>
  </r>
  <r>
    <s v="T1749"/>
    <x v="0"/>
    <d v="2026-09-28T00:00:00"/>
    <d v="1899-12-30T06:00:00"/>
    <n v="127"/>
    <n v="120"/>
    <n v="4"/>
    <s v="Tech Park Shuttle"/>
    <n v="15"/>
    <n v="16"/>
    <x v="0"/>
    <x v="5"/>
    <n v="0"/>
    <n v="0"/>
    <s v=""/>
    <n v="1"/>
    <n v="1"/>
    <n v="4"/>
    <x v="12"/>
    <n v="0"/>
    <x v="0"/>
    <n v="8.4700000000000006"/>
  </r>
  <r>
    <s v="T1750"/>
    <x v="4"/>
    <d v="2026-09-06T00:00:00"/>
    <d v="1899-12-30T10:30:00"/>
    <n v="72"/>
    <n v="72"/>
    <n v="3"/>
    <s v="Suburban Link"/>
    <n v="24.8"/>
    <n v="28"/>
    <x v="4"/>
    <x v="2"/>
    <n v="1"/>
    <n v="0"/>
    <s v=""/>
    <n v="1"/>
    <n v="1"/>
    <n v="1"/>
    <x v="3"/>
    <n v="1"/>
    <x v="0"/>
    <n v="2.9"/>
  </r>
  <r>
    <s v="T1751"/>
    <x v="2"/>
    <d v="2026-09-07T00:00:00"/>
    <d v="1899-12-30T20:15:00"/>
    <n v="127"/>
    <n v="118"/>
    <n v="4"/>
    <s v="Downtown Loop"/>
    <n v="12.2"/>
    <n v="18"/>
    <x v="2"/>
    <x v="5"/>
    <n v="0"/>
    <n v="0"/>
    <s v=""/>
    <n v="1"/>
    <n v="1"/>
    <n v="7"/>
    <x v="15"/>
    <n v="0"/>
    <x v="0"/>
    <n v="10.41"/>
  </r>
  <r>
    <s v="T1752"/>
    <x v="3"/>
    <d v="2026-09-24T00:00:00"/>
    <d v="1899-12-30T12:15:00"/>
    <n v="80"/>
    <n v="74"/>
    <n v="3"/>
    <s v="Corridor North"/>
    <n v="18.5"/>
    <n v="22"/>
    <x v="3"/>
    <x v="4"/>
    <n v="0"/>
    <n v="0"/>
    <s v=""/>
    <n v="1"/>
    <n v="1"/>
    <n v="12"/>
    <x v="14"/>
    <n v="0"/>
    <x v="0"/>
    <n v="4.32"/>
  </r>
  <r>
    <s v="T1753"/>
    <x v="3"/>
    <d v="2026-09-14T00:00:00"/>
    <d v="1899-12-30T21:00:00"/>
    <n v="150"/>
    <n v="143"/>
    <n v="7"/>
    <s v="Corridor North"/>
    <n v="18.5"/>
    <n v="22"/>
    <x v="3"/>
    <x v="5"/>
    <n v="0"/>
    <n v="0"/>
    <s v=""/>
    <n v="1"/>
    <n v="1"/>
    <n v="14"/>
    <x v="10"/>
    <n v="0"/>
    <x v="0"/>
    <n v="8.11"/>
  </r>
  <r>
    <s v="T1754"/>
    <x v="3"/>
    <d v="2026-09-24T00:00:00"/>
    <d v="1899-12-30T16:30:00"/>
    <n v="44"/>
    <n v="45"/>
    <n v="5"/>
    <s v="Corridor North"/>
    <n v="18.5"/>
    <n v="22"/>
    <x v="3"/>
    <x v="4"/>
    <n v="0"/>
    <n v="0"/>
    <s v=""/>
    <n v="1"/>
    <n v="1"/>
    <n v="3"/>
    <x v="2"/>
    <n v="0"/>
    <x v="0"/>
    <n v="2.38"/>
  </r>
  <r>
    <s v="T1755"/>
    <x v="1"/>
    <d v="2026-09-11T00:00:00"/>
    <d v="1899-12-30T15:00:00"/>
    <n v="55"/>
    <n v="59"/>
    <n v="3"/>
    <s v="Airport Express"/>
    <n v="32"/>
    <n v="14"/>
    <x v="1"/>
    <x v="3"/>
    <n v="0"/>
    <n v="0"/>
    <s v=""/>
    <n v="1"/>
    <n v="1"/>
    <n v="7"/>
    <x v="17"/>
    <n v="0"/>
    <x v="0"/>
    <n v="1.72"/>
  </r>
  <r>
    <s v="T1756"/>
    <x v="3"/>
    <d v="2026-09-30T00:00:00"/>
    <d v="1899-12-30T17:30:00"/>
    <n v="111"/>
    <n v="103"/>
    <n v="7"/>
    <s v="Corridor North"/>
    <n v="18.5"/>
    <n v="22"/>
    <x v="3"/>
    <x v="6"/>
    <n v="0"/>
    <n v="0"/>
    <s v=""/>
    <n v="1"/>
    <n v="1"/>
    <n v="9"/>
    <x v="1"/>
    <n v="1"/>
    <x v="0"/>
    <n v="6"/>
  </r>
  <r>
    <s v="T1757"/>
    <x v="3"/>
    <d v="2026-09-13T00:00:00"/>
    <d v="1899-12-30T09:00:00"/>
    <n v="51"/>
    <n v="51"/>
    <n v="4"/>
    <s v="Corridor North"/>
    <n v="18.5"/>
    <n v="22"/>
    <x v="3"/>
    <x v="2"/>
    <n v="1"/>
    <n v="0"/>
    <s v=""/>
    <n v="1"/>
    <n v="1"/>
    <n v="4"/>
    <x v="4"/>
    <n v="1"/>
    <x v="0"/>
    <n v="2.76"/>
  </r>
  <r>
    <s v="T1758"/>
    <x v="2"/>
    <d v="2026-09-02T00:00:00"/>
    <d v="1899-12-30T21:30:00"/>
    <n v="80"/>
    <n v="73"/>
    <n v="4"/>
    <s v="Downtown Loop"/>
    <n v="12.2"/>
    <n v="18"/>
    <x v="2"/>
    <x v="6"/>
    <n v="0"/>
    <n v="0"/>
    <s v=""/>
    <n v="1"/>
    <n v="1"/>
    <n v="0"/>
    <x v="10"/>
    <n v="0"/>
    <x v="0"/>
    <n v="6.56"/>
  </r>
  <r>
    <s v="T1759"/>
    <x v="2"/>
    <d v="2026-09-25T00:00:00"/>
    <d v="1899-12-30T10:45:00"/>
    <n v="87"/>
    <n v="83"/>
    <n v="3"/>
    <s v="Downtown Loop"/>
    <n v="12.2"/>
    <n v="18"/>
    <x v="2"/>
    <x v="3"/>
    <n v="0"/>
    <n v="0"/>
    <s v=""/>
    <n v="1"/>
    <n v="1"/>
    <n v="0"/>
    <x v="3"/>
    <n v="1"/>
    <x v="0"/>
    <n v="7.13"/>
  </r>
  <r>
    <s v="T1760"/>
    <x v="2"/>
    <d v="2026-09-07T00:00:00"/>
    <d v="1899-12-30T15:15:00"/>
    <n v="113"/>
    <n v="102"/>
    <n v="6"/>
    <s v="Downtown Loop"/>
    <n v="12.2"/>
    <n v="18"/>
    <x v="2"/>
    <x v="5"/>
    <n v="0"/>
    <n v="0"/>
    <s v=""/>
    <n v="1"/>
    <n v="1"/>
    <n v="11"/>
    <x v="17"/>
    <n v="0"/>
    <x v="0"/>
    <n v="9.26"/>
  </r>
  <r>
    <s v="T1761"/>
    <x v="4"/>
    <d v="2026-09-20T00:00:00"/>
    <d v="1899-12-30T08:30:00"/>
    <n v="30"/>
    <n v="31"/>
    <n v="3"/>
    <s v="Suburban Link"/>
    <n v="24.8"/>
    <n v="28"/>
    <x v="4"/>
    <x v="2"/>
    <n v="1"/>
    <n v="0"/>
    <s v="Marathon"/>
    <n v="1"/>
    <n v="1"/>
    <n v="8"/>
    <x v="13"/>
    <n v="1"/>
    <x v="1"/>
    <n v="1.21"/>
  </r>
  <r>
    <s v="T1762"/>
    <x v="1"/>
    <d v="2026-09-04T00:00:00"/>
    <d v="1899-12-30T17:30:00"/>
    <n v="88"/>
    <n v="89"/>
    <n v="6"/>
    <s v="Airport Express"/>
    <n v="32"/>
    <n v="14"/>
    <x v="1"/>
    <x v="3"/>
    <n v="0"/>
    <n v="0"/>
    <s v=""/>
    <n v="1"/>
    <n v="1"/>
    <n v="6"/>
    <x v="1"/>
    <n v="1"/>
    <x v="0"/>
    <n v="2.75"/>
  </r>
  <r>
    <s v="T1763"/>
    <x v="2"/>
    <d v="2026-09-27T00:00:00"/>
    <d v="1899-12-30T13:00:00"/>
    <n v="99"/>
    <n v="98"/>
    <n v="5"/>
    <s v="Downtown Loop"/>
    <n v="12.2"/>
    <n v="18"/>
    <x v="2"/>
    <x v="2"/>
    <n v="1"/>
    <n v="0"/>
    <s v="Music Fest"/>
    <n v="1"/>
    <n v="1"/>
    <n v="2"/>
    <x v="5"/>
    <n v="0"/>
    <x v="1"/>
    <n v="8.11"/>
  </r>
  <r>
    <s v="T1764"/>
    <x v="3"/>
    <d v="2026-09-08T00:00:00"/>
    <d v="1899-12-30T10:15:00"/>
    <n v="114"/>
    <n v="106"/>
    <n v="5"/>
    <s v="Corridor North"/>
    <n v="18.5"/>
    <n v="22"/>
    <x v="3"/>
    <x v="0"/>
    <n v="0"/>
    <n v="0"/>
    <s v=""/>
    <n v="1"/>
    <n v="1"/>
    <n v="4"/>
    <x v="3"/>
    <n v="1"/>
    <x v="0"/>
    <n v="6.16"/>
  </r>
  <r>
    <s v="T1765"/>
    <x v="4"/>
    <d v="2026-09-20T00:00:00"/>
    <d v="1899-12-30T16:15:00"/>
    <n v="100"/>
    <n v="90"/>
    <n v="4"/>
    <s v="Suburban Link"/>
    <n v="24.8"/>
    <n v="28"/>
    <x v="4"/>
    <x v="2"/>
    <n v="1"/>
    <n v="0"/>
    <s v="Marathon"/>
    <n v="1"/>
    <n v="1"/>
    <n v="13"/>
    <x v="2"/>
    <n v="0"/>
    <x v="1"/>
    <n v="4.03"/>
  </r>
  <r>
    <s v="T1766"/>
    <x v="1"/>
    <d v="2026-09-29T00:00:00"/>
    <d v="1899-12-30T07:30:00"/>
    <n v="139"/>
    <n v="141"/>
    <n v="5"/>
    <s v="Airport Express"/>
    <n v="32"/>
    <n v="14"/>
    <x v="1"/>
    <x v="0"/>
    <n v="0"/>
    <n v="0"/>
    <s v=""/>
    <n v="1"/>
    <n v="1"/>
    <n v="4"/>
    <x v="6"/>
    <n v="0"/>
    <x v="0"/>
    <n v="4.34"/>
  </r>
  <r>
    <s v="T1767"/>
    <x v="3"/>
    <d v="2026-09-22T00:00:00"/>
    <d v="1899-12-30T16:30:00"/>
    <n v="112"/>
    <n v="103"/>
    <n v="4"/>
    <s v="Corridor North"/>
    <n v="18.5"/>
    <n v="22"/>
    <x v="3"/>
    <x v="0"/>
    <n v="0"/>
    <n v="0"/>
    <s v=""/>
    <n v="1"/>
    <n v="1"/>
    <n v="4"/>
    <x v="2"/>
    <n v="0"/>
    <x v="0"/>
    <n v="6.05"/>
  </r>
  <r>
    <s v="T1768"/>
    <x v="0"/>
    <d v="2026-09-21T00:00:00"/>
    <d v="1899-12-30T13:30:00"/>
    <n v="47"/>
    <n v="50"/>
    <n v="5"/>
    <s v="Tech Park Shuttle"/>
    <n v="15"/>
    <n v="16"/>
    <x v="0"/>
    <x v="5"/>
    <n v="0"/>
    <n v="0"/>
    <s v=""/>
    <n v="1"/>
    <n v="1"/>
    <n v="9"/>
    <x v="5"/>
    <n v="0"/>
    <x v="0"/>
    <n v="3.13"/>
  </r>
  <r>
    <s v="T1769"/>
    <x v="0"/>
    <d v="2026-09-19T00:00:00"/>
    <d v="1899-12-30T12:30:00"/>
    <n v="85"/>
    <n v="88"/>
    <n v="3"/>
    <s v="Tech Park Shuttle"/>
    <n v="15"/>
    <n v="16"/>
    <x v="0"/>
    <x v="1"/>
    <n v="1"/>
    <n v="1"/>
    <s v=""/>
    <n v="1"/>
    <n v="1"/>
    <n v="0"/>
    <x v="14"/>
    <n v="0"/>
    <x v="0"/>
    <n v="5.67"/>
  </r>
  <r>
    <s v="T1770"/>
    <x v="3"/>
    <d v="2026-09-13T00:00:00"/>
    <d v="1899-12-30T20:45:00"/>
    <n v="174"/>
    <n v="175"/>
    <n v="6"/>
    <s v="Corridor North"/>
    <n v="18.5"/>
    <n v="22"/>
    <x v="3"/>
    <x v="2"/>
    <n v="1"/>
    <n v="0"/>
    <s v=""/>
    <n v="1"/>
    <n v="1"/>
    <n v="7"/>
    <x v="15"/>
    <n v="0"/>
    <x v="0"/>
    <n v="9.41"/>
  </r>
  <r>
    <s v="T1771"/>
    <x v="2"/>
    <d v="2026-09-14T00:00:00"/>
    <d v="1899-12-30T08:45:00"/>
    <n v="175"/>
    <n v="169"/>
    <n v="4"/>
    <s v="Downtown Loop"/>
    <n v="12.2"/>
    <n v="18"/>
    <x v="2"/>
    <x v="5"/>
    <n v="0"/>
    <n v="0"/>
    <s v=""/>
    <n v="1"/>
    <n v="1"/>
    <n v="2"/>
    <x v="13"/>
    <n v="1"/>
    <x v="0"/>
    <n v="14.34"/>
  </r>
  <r>
    <s v="T1772"/>
    <x v="1"/>
    <d v="2026-09-10T00:00:00"/>
    <d v="1899-12-30T05:45:00"/>
    <n v="67"/>
    <n v="63"/>
    <n v="3"/>
    <s v="Airport Express"/>
    <n v="32"/>
    <n v="14"/>
    <x v="1"/>
    <x v="4"/>
    <n v="0"/>
    <n v="0"/>
    <s v=""/>
    <n v="1"/>
    <n v="1"/>
    <n v="11"/>
    <x v="16"/>
    <n v="0"/>
    <x v="0"/>
    <n v="2.09"/>
  </r>
  <r>
    <s v="T1773"/>
    <x v="1"/>
    <d v="2026-09-11T00:00:00"/>
    <d v="1899-12-30T11:15:00"/>
    <n v="68"/>
    <n v="73"/>
    <n v="5"/>
    <s v="Airport Express"/>
    <n v="32"/>
    <n v="14"/>
    <x v="1"/>
    <x v="3"/>
    <n v="0"/>
    <n v="0"/>
    <s v=""/>
    <n v="1"/>
    <n v="1"/>
    <n v="20"/>
    <x v="9"/>
    <n v="0"/>
    <x v="0"/>
    <n v="2.12"/>
  </r>
  <r>
    <s v="T1774"/>
    <x v="4"/>
    <d v="2026-09-02T00:00:00"/>
    <d v="1899-12-30T09:30:00"/>
    <n v="104"/>
    <n v="98"/>
    <n v="4"/>
    <s v="Suburban Link"/>
    <n v="24.8"/>
    <n v="28"/>
    <x v="4"/>
    <x v="6"/>
    <n v="0"/>
    <n v="0"/>
    <s v=""/>
    <n v="1"/>
    <n v="1"/>
    <n v="2"/>
    <x v="4"/>
    <n v="1"/>
    <x v="0"/>
    <n v="4.1900000000000004"/>
  </r>
  <r>
    <s v="T1775"/>
    <x v="1"/>
    <d v="2026-09-25T00:00:00"/>
    <d v="1899-12-30T08:00:00"/>
    <n v="144"/>
    <n v="141"/>
    <n v="5"/>
    <s v="Airport Express"/>
    <n v="32"/>
    <n v="14"/>
    <x v="1"/>
    <x v="3"/>
    <n v="0"/>
    <n v="0"/>
    <s v=""/>
    <n v="1"/>
    <n v="1"/>
    <n v="20"/>
    <x v="13"/>
    <n v="1"/>
    <x v="0"/>
    <n v="4.5"/>
  </r>
  <r>
    <s v="T1776"/>
    <x v="0"/>
    <d v="2026-09-26T00:00:00"/>
    <d v="1899-12-30T05:00:00"/>
    <n v="64"/>
    <n v="61"/>
    <n v="5"/>
    <s v="Tech Park Shuttle"/>
    <n v="15"/>
    <n v="16"/>
    <x v="0"/>
    <x v="1"/>
    <n v="1"/>
    <n v="0"/>
    <s v=""/>
    <n v="1"/>
    <n v="1"/>
    <n v="0"/>
    <x v="16"/>
    <n v="0"/>
    <x v="0"/>
    <n v="4.2699999999999996"/>
  </r>
  <r>
    <s v="T1777"/>
    <x v="1"/>
    <d v="2026-09-09T00:00:00"/>
    <d v="1899-12-30T19:45:00"/>
    <n v="88"/>
    <n v="93"/>
    <n v="5"/>
    <s v="Airport Express"/>
    <n v="32"/>
    <n v="14"/>
    <x v="1"/>
    <x v="6"/>
    <n v="0"/>
    <n v="0"/>
    <s v=""/>
    <n v="1"/>
    <n v="1"/>
    <n v="15"/>
    <x v="8"/>
    <n v="1"/>
    <x v="0"/>
    <n v="2.75"/>
  </r>
  <r>
    <s v="T1778"/>
    <x v="2"/>
    <d v="2026-09-17T00:00:00"/>
    <d v="1899-12-30T14:45:00"/>
    <n v="152"/>
    <n v="148"/>
    <n v="6"/>
    <s v="Downtown Loop"/>
    <n v="12.2"/>
    <n v="18"/>
    <x v="2"/>
    <x v="4"/>
    <n v="0"/>
    <n v="0"/>
    <s v=""/>
    <n v="1"/>
    <n v="1"/>
    <n v="6"/>
    <x v="7"/>
    <n v="0"/>
    <x v="0"/>
    <n v="12.46"/>
  </r>
  <r>
    <s v="T1779"/>
    <x v="1"/>
    <d v="2026-09-26T00:00:00"/>
    <d v="1899-12-30T22:45:00"/>
    <n v="130"/>
    <n v="126"/>
    <n v="5"/>
    <s v="Airport Express"/>
    <n v="32"/>
    <n v="14"/>
    <x v="1"/>
    <x v="1"/>
    <n v="1"/>
    <n v="0"/>
    <s v=""/>
    <n v="1"/>
    <n v="0"/>
    <n v="0"/>
    <x v="11"/>
    <n v="0"/>
    <x v="0"/>
    <n v="4.0599999999999996"/>
  </r>
  <r>
    <s v="T1780"/>
    <x v="4"/>
    <d v="2026-09-03T00:00:00"/>
    <d v="1899-12-30T07:30:00"/>
    <n v="103"/>
    <n v="93"/>
    <n v="5"/>
    <s v="Suburban Link"/>
    <n v="24.8"/>
    <n v="28"/>
    <x v="4"/>
    <x v="4"/>
    <n v="0"/>
    <n v="0"/>
    <s v=""/>
    <n v="1"/>
    <n v="1"/>
    <n v="2"/>
    <x v="6"/>
    <n v="0"/>
    <x v="0"/>
    <n v="4.1500000000000004"/>
  </r>
  <r>
    <s v="T1781"/>
    <x v="0"/>
    <d v="2026-09-24T00:00:00"/>
    <d v="1899-12-30T19:30:00"/>
    <n v="152"/>
    <n v="157"/>
    <n v="6"/>
    <s v="Tech Park Shuttle"/>
    <n v="15"/>
    <n v="16"/>
    <x v="0"/>
    <x v="4"/>
    <n v="0"/>
    <n v="0"/>
    <s v=""/>
    <n v="1"/>
    <n v="1"/>
    <n v="3"/>
    <x v="8"/>
    <n v="1"/>
    <x v="0"/>
    <n v="10.130000000000001"/>
  </r>
  <r>
    <s v="T1782"/>
    <x v="1"/>
    <d v="2026-09-06T00:00:00"/>
    <d v="1899-12-30T15:00:00"/>
    <n v="176"/>
    <n v="176"/>
    <n v="6"/>
    <s v="Airport Express"/>
    <n v="32"/>
    <n v="14"/>
    <x v="1"/>
    <x v="2"/>
    <n v="1"/>
    <n v="0"/>
    <s v=""/>
    <n v="1"/>
    <n v="1"/>
    <n v="7"/>
    <x v="17"/>
    <n v="0"/>
    <x v="0"/>
    <n v="5.5"/>
  </r>
  <r>
    <s v="T1783"/>
    <x v="3"/>
    <d v="2026-09-05T00:00:00"/>
    <d v="1899-12-30T21:15:00"/>
    <n v="61"/>
    <n v="59"/>
    <n v="3"/>
    <s v="Corridor North"/>
    <n v="18.5"/>
    <n v="22"/>
    <x v="3"/>
    <x v="1"/>
    <n v="1"/>
    <n v="1"/>
    <s v=""/>
    <n v="1"/>
    <n v="1"/>
    <n v="6"/>
    <x v="10"/>
    <n v="0"/>
    <x v="0"/>
    <n v="3.3"/>
  </r>
  <r>
    <s v="T1784"/>
    <x v="3"/>
    <d v="2026-09-05T00:00:00"/>
    <d v="1899-12-30T09:45:00"/>
    <n v="110"/>
    <n v="106"/>
    <n v="6"/>
    <s v="Corridor North"/>
    <n v="18.5"/>
    <n v="22"/>
    <x v="3"/>
    <x v="1"/>
    <n v="1"/>
    <n v="1"/>
    <s v=""/>
    <n v="1"/>
    <n v="1"/>
    <n v="0"/>
    <x v="4"/>
    <n v="1"/>
    <x v="0"/>
    <n v="5.95"/>
  </r>
  <r>
    <s v="T1785"/>
    <x v="1"/>
    <d v="2026-09-22T00:00:00"/>
    <d v="1899-12-30T06:45:00"/>
    <n v="134"/>
    <n v="124"/>
    <n v="6"/>
    <s v="Airport Express"/>
    <n v="32"/>
    <n v="14"/>
    <x v="1"/>
    <x v="0"/>
    <n v="0"/>
    <n v="0"/>
    <s v=""/>
    <n v="1"/>
    <n v="1"/>
    <n v="2"/>
    <x v="12"/>
    <n v="0"/>
    <x v="0"/>
    <n v="4.1900000000000004"/>
  </r>
  <r>
    <s v="T1786"/>
    <x v="0"/>
    <d v="2026-09-15T00:00:00"/>
    <d v="1899-12-30T16:15:00"/>
    <n v="95"/>
    <n v="97"/>
    <n v="7"/>
    <s v="Tech Park Shuttle"/>
    <n v="15"/>
    <n v="16"/>
    <x v="0"/>
    <x v="0"/>
    <n v="0"/>
    <n v="0"/>
    <s v=""/>
    <n v="1"/>
    <n v="1"/>
    <n v="0"/>
    <x v="2"/>
    <n v="0"/>
    <x v="0"/>
    <n v="6.33"/>
  </r>
  <r>
    <s v="T1787"/>
    <x v="4"/>
    <d v="2026-09-23T00:00:00"/>
    <d v="1899-12-30T05:30:00"/>
    <n v="119"/>
    <n v="117"/>
    <n v="5"/>
    <s v="Suburban Link"/>
    <n v="24.8"/>
    <n v="28"/>
    <x v="4"/>
    <x v="6"/>
    <n v="0"/>
    <n v="0"/>
    <s v=""/>
    <n v="1"/>
    <n v="1"/>
    <n v="36"/>
    <x v="16"/>
    <n v="0"/>
    <x v="0"/>
    <n v="4.8"/>
  </r>
  <r>
    <s v="T1788"/>
    <x v="1"/>
    <d v="2026-09-17T00:00:00"/>
    <d v="1899-12-30T08:00:00"/>
    <n v="91"/>
    <n v="91"/>
    <n v="5"/>
    <s v="Airport Express"/>
    <n v="32"/>
    <n v="14"/>
    <x v="1"/>
    <x v="4"/>
    <n v="0"/>
    <n v="0"/>
    <s v=""/>
    <n v="1"/>
    <n v="1"/>
    <n v="1"/>
    <x v="13"/>
    <n v="1"/>
    <x v="0"/>
    <n v="2.84"/>
  </r>
  <r>
    <s v="T1789"/>
    <x v="2"/>
    <d v="2026-09-09T00:00:00"/>
    <d v="1899-12-30T17:15:00"/>
    <n v="128"/>
    <n v="133"/>
    <n v="7"/>
    <s v="Downtown Loop"/>
    <n v="12.2"/>
    <n v="18"/>
    <x v="2"/>
    <x v="6"/>
    <n v="0"/>
    <n v="0"/>
    <s v=""/>
    <n v="1"/>
    <n v="1"/>
    <n v="4"/>
    <x v="1"/>
    <n v="1"/>
    <x v="0"/>
    <n v="10.49"/>
  </r>
  <r>
    <s v="T1790"/>
    <x v="2"/>
    <d v="2026-09-03T00:00:00"/>
    <d v="1899-12-30T09:15:00"/>
    <n v="81"/>
    <n v="72"/>
    <n v="4"/>
    <s v="Downtown Loop"/>
    <n v="12.2"/>
    <n v="18"/>
    <x v="2"/>
    <x v="4"/>
    <n v="0"/>
    <n v="0"/>
    <s v=""/>
    <n v="1"/>
    <n v="1"/>
    <n v="4"/>
    <x v="4"/>
    <n v="1"/>
    <x v="0"/>
    <n v="6.64"/>
  </r>
  <r>
    <s v="T1791"/>
    <x v="3"/>
    <d v="2026-09-20T00:00:00"/>
    <d v="1899-12-30T07:30:00"/>
    <n v="121"/>
    <n v="123"/>
    <n v="3"/>
    <s v="Corridor North"/>
    <n v="18.5"/>
    <n v="22"/>
    <x v="3"/>
    <x v="2"/>
    <n v="1"/>
    <n v="0"/>
    <s v="Marathon"/>
    <n v="1"/>
    <n v="1"/>
    <n v="6"/>
    <x v="6"/>
    <n v="0"/>
    <x v="1"/>
    <n v="6.54"/>
  </r>
  <r>
    <s v="T1792"/>
    <x v="1"/>
    <d v="2026-09-26T00:00:00"/>
    <d v="1899-12-30T17:45:00"/>
    <n v="105"/>
    <n v="102"/>
    <n v="5"/>
    <s v="Airport Express"/>
    <n v="32"/>
    <n v="14"/>
    <x v="1"/>
    <x v="1"/>
    <n v="1"/>
    <n v="0"/>
    <s v=""/>
    <n v="1"/>
    <n v="1"/>
    <n v="3"/>
    <x v="1"/>
    <n v="1"/>
    <x v="0"/>
    <n v="3.28"/>
  </r>
  <r>
    <s v="T1793"/>
    <x v="4"/>
    <d v="2026-09-17T00:00:00"/>
    <d v="1899-12-30T18:15:00"/>
    <n v="64"/>
    <n v="65"/>
    <n v="3"/>
    <s v="Suburban Link"/>
    <n v="24.8"/>
    <n v="28"/>
    <x v="4"/>
    <x v="4"/>
    <n v="0"/>
    <n v="0"/>
    <s v=""/>
    <n v="1"/>
    <n v="1"/>
    <n v="10"/>
    <x v="0"/>
    <n v="1"/>
    <x v="0"/>
    <n v="2.58"/>
  </r>
  <r>
    <s v="T1794"/>
    <x v="3"/>
    <d v="2026-09-29T00:00:00"/>
    <d v="1899-12-30T15:45:00"/>
    <n v="137"/>
    <n v="125"/>
    <n v="6"/>
    <s v="Corridor North"/>
    <n v="18.5"/>
    <n v="22"/>
    <x v="3"/>
    <x v="0"/>
    <n v="0"/>
    <n v="0"/>
    <s v=""/>
    <n v="1"/>
    <n v="1"/>
    <n v="11"/>
    <x v="17"/>
    <n v="0"/>
    <x v="0"/>
    <n v="7.41"/>
  </r>
  <r>
    <s v="T1795"/>
    <x v="1"/>
    <d v="2026-09-27T00:00:00"/>
    <d v="1899-12-30T14:30:00"/>
    <n v="99"/>
    <n v="94"/>
    <n v="3"/>
    <s v="Airport Express"/>
    <n v="32"/>
    <n v="14"/>
    <x v="1"/>
    <x v="2"/>
    <n v="1"/>
    <n v="0"/>
    <s v="Music Fest"/>
    <n v="1"/>
    <n v="1"/>
    <n v="3"/>
    <x v="7"/>
    <n v="0"/>
    <x v="1"/>
    <n v="3.09"/>
  </r>
  <r>
    <s v="T1796"/>
    <x v="1"/>
    <d v="2026-09-10T00:00:00"/>
    <d v="1899-12-30T22:15:00"/>
    <n v="115"/>
    <n v="126"/>
    <n v="6"/>
    <s v="Airport Express"/>
    <n v="32"/>
    <n v="14"/>
    <x v="1"/>
    <x v="4"/>
    <n v="0"/>
    <n v="0"/>
    <s v=""/>
    <n v="1"/>
    <n v="1"/>
    <n v="1"/>
    <x v="11"/>
    <n v="0"/>
    <x v="0"/>
    <n v="3.59"/>
  </r>
  <r>
    <s v="T1797"/>
    <x v="2"/>
    <d v="2026-09-03T00:00:00"/>
    <d v="1899-12-30T19:00:00"/>
    <n v="155"/>
    <n v="157"/>
    <n v="7"/>
    <s v="Downtown Loop"/>
    <n v="12.2"/>
    <n v="18"/>
    <x v="2"/>
    <x v="4"/>
    <n v="0"/>
    <n v="0"/>
    <s v=""/>
    <n v="1"/>
    <n v="1"/>
    <n v="1"/>
    <x v="8"/>
    <n v="1"/>
    <x v="0"/>
    <n v="12.7"/>
  </r>
  <r>
    <s v="T1798"/>
    <x v="0"/>
    <d v="2026-09-18T00:00:00"/>
    <d v="1899-12-30T14:00:00"/>
    <n v="127"/>
    <n v="120"/>
    <n v="5"/>
    <s v="Tech Park Shuttle"/>
    <n v="15"/>
    <n v="16"/>
    <x v="0"/>
    <x v="3"/>
    <n v="0"/>
    <n v="0"/>
    <s v=""/>
    <n v="1"/>
    <n v="1"/>
    <n v="9"/>
    <x v="7"/>
    <n v="0"/>
    <x v="0"/>
    <n v="8.4700000000000006"/>
  </r>
  <r>
    <s v="T1799"/>
    <x v="3"/>
    <d v="2026-09-18T00:00:00"/>
    <d v="1899-12-30T09:15:00"/>
    <n v="122"/>
    <n v="123"/>
    <n v="4"/>
    <s v="Corridor North"/>
    <n v="18.5"/>
    <n v="22"/>
    <x v="3"/>
    <x v="3"/>
    <n v="0"/>
    <n v="0"/>
    <s v=""/>
    <n v="1"/>
    <n v="1"/>
    <n v="9"/>
    <x v="4"/>
    <n v="1"/>
    <x v="0"/>
    <n v="6.59"/>
  </r>
  <r>
    <s v="T1800"/>
    <x v="0"/>
    <d v="2026-09-30T00:00:00"/>
    <d v="1899-12-30T09:30:00"/>
    <n v="30"/>
    <n v="27"/>
    <n v="3"/>
    <s v="Tech Park Shuttle"/>
    <n v="15"/>
    <n v="16"/>
    <x v="0"/>
    <x v="6"/>
    <n v="0"/>
    <n v="0"/>
    <s v=""/>
    <n v="1"/>
    <n v="1"/>
    <n v="44"/>
    <x v="4"/>
    <n v="1"/>
    <x v="0"/>
    <n v="2"/>
  </r>
  <r>
    <s v="T1801"/>
    <x v="3"/>
    <d v="2026-09-17T00:00:00"/>
    <d v="1899-12-30T10:45:00"/>
    <n v="131"/>
    <n v="124"/>
    <n v="6"/>
    <s v="Corridor North"/>
    <n v="18.5"/>
    <n v="22"/>
    <x v="3"/>
    <x v="4"/>
    <n v="0"/>
    <n v="0"/>
    <s v=""/>
    <n v="1"/>
    <n v="1"/>
    <n v="0"/>
    <x v="3"/>
    <n v="1"/>
    <x v="0"/>
    <n v="7.08"/>
  </r>
  <r>
    <s v="T1802"/>
    <x v="1"/>
    <d v="2026-09-24T00:00:00"/>
    <d v="1899-12-30T22:45:00"/>
    <n v="77"/>
    <n v="71"/>
    <n v="2"/>
    <s v="Airport Express"/>
    <n v="32"/>
    <n v="14"/>
    <x v="1"/>
    <x v="4"/>
    <n v="0"/>
    <n v="0"/>
    <s v=""/>
    <n v="1"/>
    <n v="1"/>
    <n v="8"/>
    <x v="11"/>
    <n v="0"/>
    <x v="0"/>
    <n v="2.41"/>
  </r>
  <r>
    <s v="T1803"/>
    <x v="2"/>
    <d v="2026-09-03T00:00:00"/>
    <d v="1899-12-30T13:00:00"/>
    <n v="93"/>
    <n v="99"/>
    <n v="3"/>
    <s v="Downtown Loop"/>
    <n v="12.2"/>
    <n v="18"/>
    <x v="2"/>
    <x v="4"/>
    <n v="0"/>
    <n v="0"/>
    <s v=""/>
    <n v="1"/>
    <n v="1"/>
    <n v="3"/>
    <x v="5"/>
    <n v="0"/>
    <x v="0"/>
    <n v="7.62"/>
  </r>
  <r>
    <s v="T1804"/>
    <x v="1"/>
    <d v="2026-09-03T00:00:00"/>
    <d v="1899-12-30T17:30:00"/>
    <n v="101"/>
    <n v="93"/>
    <n v="4"/>
    <s v="Airport Express"/>
    <n v="32"/>
    <n v="14"/>
    <x v="1"/>
    <x v="4"/>
    <n v="0"/>
    <n v="0"/>
    <s v=""/>
    <n v="1"/>
    <n v="1"/>
    <n v="11"/>
    <x v="1"/>
    <n v="1"/>
    <x v="0"/>
    <n v="3.16"/>
  </r>
  <r>
    <s v="T1805"/>
    <x v="4"/>
    <d v="2026-09-06T00:00:00"/>
    <d v="1899-12-30T19:15:00"/>
    <n v="162"/>
    <n v="172"/>
    <n v="7"/>
    <s v="Suburban Link"/>
    <n v="24.8"/>
    <n v="28"/>
    <x v="4"/>
    <x v="2"/>
    <n v="1"/>
    <n v="0"/>
    <s v=""/>
    <n v="1"/>
    <n v="1"/>
    <n v="6"/>
    <x v="8"/>
    <n v="1"/>
    <x v="0"/>
    <n v="6.53"/>
  </r>
  <r>
    <s v="T1806"/>
    <x v="3"/>
    <d v="2026-09-13T00:00:00"/>
    <d v="1899-12-30T21:00:00"/>
    <n v="112"/>
    <n v="97"/>
    <n v="6"/>
    <s v="Corridor North"/>
    <n v="18.5"/>
    <n v="22"/>
    <x v="3"/>
    <x v="2"/>
    <n v="1"/>
    <n v="0"/>
    <s v=""/>
    <n v="1"/>
    <n v="1"/>
    <n v="5"/>
    <x v="10"/>
    <n v="0"/>
    <x v="0"/>
    <n v="6.05"/>
  </r>
  <r>
    <s v="T1807"/>
    <x v="0"/>
    <d v="2026-09-24T00:00:00"/>
    <d v="1899-12-30T20:15:00"/>
    <n v="123"/>
    <n v="116"/>
    <n v="5"/>
    <s v="Tech Park Shuttle"/>
    <n v="15"/>
    <n v="16"/>
    <x v="0"/>
    <x v="4"/>
    <n v="0"/>
    <n v="0"/>
    <s v=""/>
    <n v="1"/>
    <n v="1"/>
    <n v="4"/>
    <x v="15"/>
    <n v="0"/>
    <x v="0"/>
    <n v="8.1999999999999993"/>
  </r>
  <r>
    <s v="T1808"/>
    <x v="1"/>
    <d v="2026-09-29T00:00:00"/>
    <d v="1899-12-30T08:00:00"/>
    <n v="96"/>
    <n v="98"/>
    <n v="4"/>
    <s v="Airport Express"/>
    <n v="32"/>
    <n v="14"/>
    <x v="1"/>
    <x v="0"/>
    <n v="0"/>
    <n v="0"/>
    <s v=""/>
    <n v="1"/>
    <n v="1"/>
    <n v="4"/>
    <x v="13"/>
    <n v="1"/>
    <x v="0"/>
    <n v="3"/>
  </r>
  <r>
    <s v="T1809"/>
    <x v="3"/>
    <d v="2026-09-15T00:00:00"/>
    <d v="1899-12-30T09:00:00"/>
    <n v="154"/>
    <n v="164"/>
    <n v="5"/>
    <s v="Corridor North"/>
    <n v="18.5"/>
    <n v="22"/>
    <x v="3"/>
    <x v="0"/>
    <n v="0"/>
    <n v="0"/>
    <s v=""/>
    <n v="1"/>
    <n v="1"/>
    <n v="0"/>
    <x v="4"/>
    <n v="1"/>
    <x v="0"/>
    <n v="8.32"/>
  </r>
  <r>
    <s v="T1810"/>
    <x v="3"/>
    <d v="2026-09-25T00:00:00"/>
    <d v="1899-12-30T21:00:00"/>
    <n v="68"/>
    <n v="65"/>
    <n v="3"/>
    <s v="Corridor North"/>
    <n v="18.5"/>
    <n v="22"/>
    <x v="3"/>
    <x v="3"/>
    <n v="0"/>
    <n v="0"/>
    <s v=""/>
    <n v="1"/>
    <n v="1"/>
    <n v="16"/>
    <x v="10"/>
    <n v="0"/>
    <x v="0"/>
    <n v="3.68"/>
  </r>
  <r>
    <s v="T1811"/>
    <x v="3"/>
    <d v="2026-09-09T00:00:00"/>
    <d v="1899-12-30T06:00:00"/>
    <n v="76"/>
    <n v="64"/>
    <n v="5"/>
    <s v="Corridor North"/>
    <n v="18.5"/>
    <n v="22"/>
    <x v="3"/>
    <x v="6"/>
    <n v="0"/>
    <n v="0"/>
    <s v=""/>
    <n v="1"/>
    <n v="1"/>
    <n v="11"/>
    <x v="12"/>
    <n v="0"/>
    <x v="0"/>
    <n v="4.1100000000000003"/>
  </r>
  <r>
    <s v="T1812"/>
    <x v="4"/>
    <d v="2026-09-04T00:00:00"/>
    <d v="1899-12-30T07:15:00"/>
    <n v="63"/>
    <n v="65"/>
    <n v="3"/>
    <s v="Suburban Link"/>
    <n v="24.8"/>
    <n v="28"/>
    <x v="4"/>
    <x v="3"/>
    <n v="0"/>
    <n v="0"/>
    <s v=""/>
    <n v="1"/>
    <n v="1"/>
    <n v="25"/>
    <x v="6"/>
    <n v="0"/>
    <x v="0"/>
    <n v="2.54"/>
  </r>
  <r>
    <s v="T1813"/>
    <x v="2"/>
    <d v="2026-09-14T00:00:00"/>
    <d v="1899-12-30T06:45:00"/>
    <n v="113"/>
    <n v="111"/>
    <n v="3"/>
    <s v="Downtown Loop"/>
    <n v="12.2"/>
    <n v="18"/>
    <x v="2"/>
    <x v="5"/>
    <n v="0"/>
    <n v="0"/>
    <s v=""/>
    <n v="1"/>
    <n v="1"/>
    <n v="2"/>
    <x v="12"/>
    <n v="0"/>
    <x v="0"/>
    <n v="9.26"/>
  </r>
  <r>
    <s v="T1814"/>
    <x v="4"/>
    <d v="2026-09-05T00:00:00"/>
    <d v="1899-12-30T17:30:00"/>
    <n v="59"/>
    <n v="58"/>
    <n v="4"/>
    <s v="Suburban Link"/>
    <n v="24.8"/>
    <n v="28"/>
    <x v="4"/>
    <x v="1"/>
    <n v="1"/>
    <n v="1"/>
    <s v=""/>
    <n v="1"/>
    <n v="1"/>
    <n v="1"/>
    <x v="1"/>
    <n v="1"/>
    <x v="0"/>
    <n v="2.38"/>
  </r>
  <r>
    <s v="T1815"/>
    <x v="3"/>
    <d v="2026-09-02T00:00:00"/>
    <d v="1899-12-30T21:00:00"/>
    <n v="70"/>
    <n v="68"/>
    <n v="5"/>
    <s v="Corridor North"/>
    <n v="18.5"/>
    <n v="22"/>
    <x v="3"/>
    <x v="6"/>
    <n v="0"/>
    <n v="0"/>
    <s v=""/>
    <n v="1"/>
    <n v="1"/>
    <n v="7"/>
    <x v="10"/>
    <n v="0"/>
    <x v="0"/>
    <n v="3.78"/>
  </r>
  <r>
    <s v="T1816"/>
    <x v="1"/>
    <d v="2026-09-11T00:00:00"/>
    <d v="1899-12-30T18:30:00"/>
    <n v="43"/>
    <n v="38"/>
    <n v="4"/>
    <s v="Airport Express"/>
    <n v="32"/>
    <n v="14"/>
    <x v="1"/>
    <x v="3"/>
    <n v="0"/>
    <n v="0"/>
    <s v=""/>
    <n v="1"/>
    <n v="1"/>
    <n v="16"/>
    <x v="0"/>
    <n v="1"/>
    <x v="0"/>
    <n v="1.34"/>
  </r>
  <r>
    <s v="T1817"/>
    <x v="2"/>
    <d v="2026-09-09T00:00:00"/>
    <d v="1899-12-30T16:00:00"/>
    <n v="112"/>
    <n v="107"/>
    <n v="4"/>
    <s v="Downtown Loop"/>
    <n v="12.2"/>
    <n v="18"/>
    <x v="2"/>
    <x v="6"/>
    <n v="0"/>
    <n v="0"/>
    <s v=""/>
    <n v="1"/>
    <n v="1"/>
    <n v="0"/>
    <x v="2"/>
    <n v="0"/>
    <x v="0"/>
    <n v="9.18"/>
  </r>
  <r>
    <s v="T1818"/>
    <x v="2"/>
    <d v="2026-09-24T00:00:00"/>
    <d v="1899-12-30T16:30:00"/>
    <n v="30"/>
    <n v="26"/>
    <n v="3"/>
    <s v="Downtown Loop"/>
    <n v="12.2"/>
    <n v="18"/>
    <x v="2"/>
    <x v="4"/>
    <n v="0"/>
    <n v="0"/>
    <s v=""/>
    <n v="1"/>
    <n v="1"/>
    <n v="1"/>
    <x v="2"/>
    <n v="0"/>
    <x v="0"/>
    <n v="2.46"/>
  </r>
  <r>
    <s v="T1819"/>
    <x v="2"/>
    <d v="2026-09-03T00:00:00"/>
    <d v="1899-12-30T11:45:00"/>
    <n v="66"/>
    <n v="70"/>
    <n v="4"/>
    <s v="Downtown Loop"/>
    <n v="12.2"/>
    <n v="18"/>
    <x v="2"/>
    <x v="4"/>
    <n v="0"/>
    <n v="0"/>
    <s v=""/>
    <n v="1"/>
    <n v="1"/>
    <n v="7"/>
    <x v="9"/>
    <n v="0"/>
    <x v="0"/>
    <n v="5.41"/>
  </r>
  <r>
    <s v="T1820"/>
    <x v="0"/>
    <d v="2026-09-27T00:00:00"/>
    <d v="1899-12-30T05:45:00"/>
    <n v="103"/>
    <n v="103"/>
    <n v="6"/>
    <s v="Tech Park Shuttle"/>
    <n v="15"/>
    <n v="16"/>
    <x v="0"/>
    <x v="2"/>
    <n v="1"/>
    <n v="0"/>
    <s v="Music Fest"/>
    <n v="1"/>
    <n v="1"/>
    <n v="2"/>
    <x v="16"/>
    <n v="0"/>
    <x v="1"/>
    <n v="6.87"/>
  </r>
  <r>
    <s v="T1821"/>
    <x v="2"/>
    <d v="2026-09-28T00:00:00"/>
    <d v="1899-12-30T07:00:00"/>
    <n v="109"/>
    <n v="108"/>
    <n v="5"/>
    <s v="Downtown Loop"/>
    <n v="12.2"/>
    <n v="18"/>
    <x v="2"/>
    <x v="5"/>
    <n v="0"/>
    <n v="0"/>
    <s v=""/>
    <n v="1"/>
    <n v="1"/>
    <n v="4"/>
    <x v="6"/>
    <n v="0"/>
    <x v="0"/>
    <n v="8.93"/>
  </r>
  <r>
    <s v="T1822"/>
    <x v="4"/>
    <d v="2026-09-29T00:00:00"/>
    <d v="1899-12-30T19:15:00"/>
    <n v="160"/>
    <n v="156"/>
    <n v="6"/>
    <s v="Suburban Link"/>
    <n v="24.8"/>
    <n v="28"/>
    <x v="4"/>
    <x v="0"/>
    <n v="0"/>
    <n v="0"/>
    <s v=""/>
    <n v="1"/>
    <n v="1"/>
    <n v="18"/>
    <x v="8"/>
    <n v="1"/>
    <x v="0"/>
    <n v="6.45"/>
  </r>
  <r>
    <s v="T1823"/>
    <x v="2"/>
    <d v="2026-09-09T00:00:00"/>
    <d v="1899-12-30T15:45:00"/>
    <n v="153"/>
    <n v="157"/>
    <n v="5"/>
    <s v="Downtown Loop"/>
    <n v="12.2"/>
    <n v="18"/>
    <x v="2"/>
    <x v="6"/>
    <n v="0"/>
    <n v="0"/>
    <s v=""/>
    <n v="1"/>
    <n v="1"/>
    <n v="14"/>
    <x v="17"/>
    <n v="0"/>
    <x v="0"/>
    <n v="12.54"/>
  </r>
  <r>
    <s v="T1824"/>
    <x v="1"/>
    <d v="2026-09-03T00:00:00"/>
    <d v="1899-12-30T21:30:00"/>
    <n v="71"/>
    <n v="67"/>
    <n v="3"/>
    <s v="Airport Express"/>
    <n v="32"/>
    <n v="14"/>
    <x v="1"/>
    <x v="4"/>
    <n v="0"/>
    <n v="0"/>
    <s v=""/>
    <n v="1"/>
    <n v="1"/>
    <n v="8"/>
    <x v="10"/>
    <n v="0"/>
    <x v="0"/>
    <n v="2.2200000000000002"/>
  </r>
  <r>
    <s v="T1825"/>
    <x v="1"/>
    <d v="2026-09-25T00:00:00"/>
    <d v="1899-12-30T22:45:00"/>
    <n v="41"/>
    <n v="51"/>
    <n v="4"/>
    <s v="Airport Express"/>
    <n v="32"/>
    <n v="14"/>
    <x v="1"/>
    <x v="3"/>
    <n v="0"/>
    <n v="0"/>
    <s v=""/>
    <n v="1"/>
    <n v="1"/>
    <n v="4"/>
    <x v="11"/>
    <n v="0"/>
    <x v="0"/>
    <n v="1.28"/>
  </r>
  <r>
    <s v="T1826"/>
    <x v="2"/>
    <d v="2026-09-02T00:00:00"/>
    <d v="1899-12-30T09:30:00"/>
    <n v="82"/>
    <n v="84"/>
    <n v="5"/>
    <s v="Downtown Loop"/>
    <n v="12.2"/>
    <n v="18"/>
    <x v="2"/>
    <x v="6"/>
    <n v="0"/>
    <n v="0"/>
    <s v=""/>
    <n v="1"/>
    <n v="1"/>
    <n v="10"/>
    <x v="4"/>
    <n v="1"/>
    <x v="0"/>
    <n v="6.72"/>
  </r>
  <r>
    <s v="T1827"/>
    <x v="1"/>
    <d v="2026-09-12T00:00:00"/>
    <d v="1899-12-30T12:45:00"/>
    <n v="98"/>
    <n v="91"/>
    <n v="6"/>
    <s v="Airport Express"/>
    <n v="32"/>
    <n v="14"/>
    <x v="1"/>
    <x v="1"/>
    <n v="1"/>
    <n v="0"/>
    <s v="Tech Expo"/>
    <n v="1"/>
    <n v="1"/>
    <n v="3"/>
    <x v="14"/>
    <n v="0"/>
    <x v="1"/>
    <n v="3.06"/>
  </r>
  <r>
    <s v="T1828"/>
    <x v="1"/>
    <d v="2026-09-10T00:00:00"/>
    <d v="1899-12-30T09:00:00"/>
    <n v="142"/>
    <n v="137"/>
    <n v="5"/>
    <s v="Airport Express"/>
    <n v="32"/>
    <n v="14"/>
    <x v="1"/>
    <x v="4"/>
    <n v="0"/>
    <n v="0"/>
    <s v=""/>
    <n v="1"/>
    <n v="1"/>
    <n v="4"/>
    <x v="4"/>
    <n v="1"/>
    <x v="0"/>
    <n v="4.4400000000000004"/>
  </r>
  <r>
    <s v="T1829"/>
    <x v="1"/>
    <d v="2026-09-09T00:00:00"/>
    <d v="1899-12-30T09:45:00"/>
    <n v="48"/>
    <n v="48"/>
    <n v="3"/>
    <s v="Airport Express"/>
    <n v="32"/>
    <n v="14"/>
    <x v="1"/>
    <x v="6"/>
    <n v="0"/>
    <n v="0"/>
    <s v=""/>
    <n v="1"/>
    <n v="1"/>
    <n v="5"/>
    <x v="4"/>
    <n v="1"/>
    <x v="0"/>
    <n v="1.5"/>
  </r>
  <r>
    <s v="T1830"/>
    <x v="1"/>
    <d v="2026-09-15T00:00:00"/>
    <d v="1899-12-30T06:30:00"/>
    <n v="74"/>
    <n v="70"/>
    <n v="3"/>
    <s v="Airport Express"/>
    <n v="32"/>
    <n v="14"/>
    <x v="1"/>
    <x v="0"/>
    <n v="0"/>
    <n v="0"/>
    <s v=""/>
    <n v="1"/>
    <n v="1"/>
    <n v="0"/>
    <x v="12"/>
    <n v="0"/>
    <x v="0"/>
    <n v="2.31"/>
  </r>
  <r>
    <s v="T1831"/>
    <x v="3"/>
    <d v="2026-09-08T00:00:00"/>
    <d v="1899-12-30T17:30:00"/>
    <n v="55"/>
    <n v="55"/>
    <n v="5"/>
    <s v="Corridor North"/>
    <n v="18.5"/>
    <n v="22"/>
    <x v="3"/>
    <x v="0"/>
    <n v="0"/>
    <n v="0"/>
    <s v=""/>
    <n v="1"/>
    <n v="1"/>
    <n v="4"/>
    <x v="1"/>
    <n v="1"/>
    <x v="0"/>
    <n v="2.97"/>
  </r>
  <r>
    <s v="T1832"/>
    <x v="3"/>
    <d v="2026-09-25T00:00:00"/>
    <d v="1899-12-30T16:15:00"/>
    <n v="103"/>
    <n v="101"/>
    <n v="4"/>
    <s v="Corridor North"/>
    <n v="18.5"/>
    <n v="22"/>
    <x v="3"/>
    <x v="3"/>
    <n v="0"/>
    <n v="0"/>
    <s v=""/>
    <n v="1"/>
    <n v="1"/>
    <n v="5"/>
    <x v="2"/>
    <n v="0"/>
    <x v="0"/>
    <n v="5.57"/>
  </r>
  <r>
    <s v="T1833"/>
    <x v="0"/>
    <d v="2026-09-05T00:00:00"/>
    <d v="1899-12-30T15:30:00"/>
    <n v="167"/>
    <n v="169"/>
    <n v="6"/>
    <s v="Tech Park Shuttle"/>
    <n v="15"/>
    <n v="16"/>
    <x v="0"/>
    <x v="1"/>
    <n v="1"/>
    <n v="1"/>
    <s v=""/>
    <n v="1"/>
    <n v="1"/>
    <n v="6"/>
    <x v="17"/>
    <n v="0"/>
    <x v="0"/>
    <n v="11.13"/>
  </r>
  <r>
    <s v="T1834"/>
    <x v="3"/>
    <d v="2026-09-11T00:00:00"/>
    <d v="1899-12-30T09:00:00"/>
    <n v="194"/>
    <n v="186"/>
    <n v="6"/>
    <s v="Corridor North"/>
    <n v="18.5"/>
    <n v="22"/>
    <x v="3"/>
    <x v="3"/>
    <n v="0"/>
    <n v="0"/>
    <s v=""/>
    <n v="1"/>
    <n v="1"/>
    <n v="2"/>
    <x v="4"/>
    <n v="1"/>
    <x v="0"/>
    <n v="10.49"/>
  </r>
  <r>
    <s v="T1835"/>
    <x v="3"/>
    <d v="2026-09-27T00:00:00"/>
    <d v="1899-12-30T13:15:00"/>
    <n v="106"/>
    <n v="108"/>
    <n v="4"/>
    <s v="Corridor North"/>
    <n v="18.5"/>
    <n v="22"/>
    <x v="3"/>
    <x v="2"/>
    <n v="1"/>
    <n v="0"/>
    <s v="Music Fest"/>
    <n v="1"/>
    <n v="1"/>
    <n v="0"/>
    <x v="5"/>
    <n v="0"/>
    <x v="1"/>
    <n v="5.73"/>
  </r>
  <r>
    <s v="T1836"/>
    <x v="4"/>
    <d v="2026-09-02T00:00:00"/>
    <d v="1899-12-30T16:15:00"/>
    <n v="85"/>
    <n v="79"/>
    <n v="4"/>
    <s v="Suburban Link"/>
    <n v="24.8"/>
    <n v="28"/>
    <x v="4"/>
    <x v="6"/>
    <n v="0"/>
    <n v="0"/>
    <s v=""/>
    <n v="1"/>
    <n v="1"/>
    <n v="1"/>
    <x v="2"/>
    <n v="0"/>
    <x v="0"/>
    <n v="3.43"/>
  </r>
  <r>
    <s v="T1837"/>
    <x v="0"/>
    <d v="2026-09-24T00:00:00"/>
    <d v="1899-12-30T21:30:00"/>
    <n v="75"/>
    <n v="68"/>
    <n v="4"/>
    <s v="Tech Park Shuttle"/>
    <n v="15"/>
    <n v="16"/>
    <x v="0"/>
    <x v="4"/>
    <n v="0"/>
    <n v="0"/>
    <s v=""/>
    <n v="1"/>
    <n v="1"/>
    <n v="2"/>
    <x v="10"/>
    <n v="0"/>
    <x v="0"/>
    <n v="5"/>
  </r>
  <r>
    <s v="T1838"/>
    <x v="0"/>
    <d v="2026-09-28T00:00:00"/>
    <d v="1899-12-30T20:45:00"/>
    <n v="10"/>
    <n v="5"/>
    <n v="4"/>
    <s v="Tech Park Shuttle"/>
    <n v="15"/>
    <n v="16"/>
    <x v="0"/>
    <x v="5"/>
    <n v="0"/>
    <n v="0"/>
    <s v=""/>
    <n v="1"/>
    <n v="1"/>
    <n v="4"/>
    <x v="15"/>
    <n v="0"/>
    <x v="0"/>
    <n v="0.67"/>
  </r>
  <r>
    <s v="T1839"/>
    <x v="3"/>
    <d v="2026-09-15T00:00:00"/>
    <d v="1899-12-30T16:45:00"/>
    <n v="70"/>
    <n v="66"/>
    <n v="7"/>
    <s v="Corridor North"/>
    <n v="18.5"/>
    <n v="22"/>
    <x v="3"/>
    <x v="0"/>
    <n v="0"/>
    <n v="0"/>
    <s v=""/>
    <n v="1"/>
    <n v="1"/>
    <n v="31"/>
    <x v="2"/>
    <n v="0"/>
    <x v="0"/>
    <n v="3.78"/>
  </r>
  <r>
    <s v="T1840"/>
    <x v="2"/>
    <d v="2026-09-06T00:00:00"/>
    <d v="1899-12-30T10:30:00"/>
    <n v="88"/>
    <n v="87"/>
    <n v="4"/>
    <s v="Downtown Loop"/>
    <n v="12.2"/>
    <n v="18"/>
    <x v="2"/>
    <x v="2"/>
    <n v="1"/>
    <n v="0"/>
    <s v=""/>
    <n v="1"/>
    <n v="1"/>
    <n v="7"/>
    <x v="3"/>
    <n v="1"/>
    <x v="0"/>
    <n v="7.21"/>
  </r>
  <r>
    <s v="T1841"/>
    <x v="4"/>
    <d v="2026-09-08T00:00:00"/>
    <d v="1899-12-30T08:15:00"/>
    <n v="80"/>
    <n v="77"/>
    <n v="3"/>
    <s v="Suburban Link"/>
    <n v="24.8"/>
    <n v="28"/>
    <x v="4"/>
    <x v="0"/>
    <n v="0"/>
    <n v="0"/>
    <s v=""/>
    <n v="1"/>
    <n v="1"/>
    <n v="2"/>
    <x v="13"/>
    <n v="1"/>
    <x v="0"/>
    <n v="3.23"/>
  </r>
  <r>
    <s v="T1842"/>
    <x v="4"/>
    <d v="2026-09-27T00:00:00"/>
    <d v="1899-12-30T15:00:00"/>
    <n v="86"/>
    <n v="96"/>
    <n v="4"/>
    <s v="Suburban Link"/>
    <n v="24.8"/>
    <n v="28"/>
    <x v="4"/>
    <x v="2"/>
    <n v="1"/>
    <n v="0"/>
    <s v="Music Fest"/>
    <n v="1"/>
    <n v="1"/>
    <n v="1"/>
    <x v="17"/>
    <n v="0"/>
    <x v="1"/>
    <n v="3.47"/>
  </r>
  <r>
    <s v="T1843"/>
    <x v="1"/>
    <d v="2026-09-05T00:00:00"/>
    <d v="1899-12-30T19:30:00"/>
    <n v="93"/>
    <n v="88"/>
    <n v="3"/>
    <s v="Airport Express"/>
    <n v="32"/>
    <n v="14"/>
    <x v="1"/>
    <x v="1"/>
    <n v="1"/>
    <n v="1"/>
    <s v=""/>
    <n v="1"/>
    <n v="1"/>
    <n v="1"/>
    <x v="8"/>
    <n v="1"/>
    <x v="0"/>
    <n v="2.91"/>
  </r>
  <r>
    <s v="T1844"/>
    <x v="0"/>
    <d v="2026-09-16T00:00:00"/>
    <d v="1899-12-30T15:45:00"/>
    <n v="96"/>
    <n v="82"/>
    <n v="3"/>
    <s v="Tech Park Shuttle"/>
    <n v="15"/>
    <n v="16"/>
    <x v="0"/>
    <x v="6"/>
    <n v="0"/>
    <n v="0"/>
    <s v=""/>
    <n v="1"/>
    <n v="1"/>
    <n v="2"/>
    <x v="17"/>
    <n v="0"/>
    <x v="0"/>
    <n v="6.4"/>
  </r>
  <r>
    <s v="T1845"/>
    <x v="3"/>
    <d v="2026-09-26T00:00:00"/>
    <d v="1899-12-30T22:00:00"/>
    <n v="69"/>
    <n v="63"/>
    <n v="4"/>
    <s v="Corridor North"/>
    <n v="18.5"/>
    <n v="22"/>
    <x v="3"/>
    <x v="1"/>
    <n v="1"/>
    <n v="0"/>
    <s v=""/>
    <n v="1"/>
    <n v="1"/>
    <n v="7"/>
    <x v="11"/>
    <n v="0"/>
    <x v="0"/>
    <n v="3.73"/>
  </r>
  <r>
    <s v="T1846"/>
    <x v="1"/>
    <d v="2026-09-18T00:00:00"/>
    <d v="1899-12-30T18:30:00"/>
    <n v="148"/>
    <n v="145"/>
    <n v="7"/>
    <s v="Airport Express"/>
    <n v="32"/>
    <n v="14"/>
    <x v="1"/>
    <x v="3"/>
    <n v="0"/>
    <n v="0"/>
    <s v=""/>
    <n v="1"/>
    <n v="1"/>
    <n v="4"/>
    <x v="0"/>
    <n v="1"/>
    <x v="0"/>
    <n v="4.62"/>
  </r>
  <r>
    <s v="T1847"/>
    <x v="1"/>
    <d v="2026-09-06T00:00:00"/>
    <d v="1899-12-30T22:45:00"/>
    <n v="72"/>
    <n v="64"/>
    <n v="5"/>
    <s v="Airport Express"/>
    <n v="32"/>
    <n v="14"/>
    <x v="1"/>
    <x v="2"/>
    <n v="1"/>
    <n v="0"/>
    <s v=""/>
    <n v="1"/>
    <n v="1"/>
    <n v="0"/>
    <x v="11"/>
    <n v="0"/>
    <x v="0"/>
    <n v="2.25"/>
  </r>
  <r>
    <s v="T1848"/>
    <x v="3"/>
    <d v="2026-09-05T00:00:00"/>
    <d v="1899-12-30T19:30:00"/>
    <n v="103"/>
    <n v="102"/>
    <n v="5"/>
    <s v="Corridor North"/>
    <n v="18.5"/>
    <n v="22"/>
    <x v="3"/>
    <x v="1"/>
    <n v="1"/>
    <n v="1"/>
    <s v=""/>
    <n v="1"/>
    <n v="1"/>
    <n v="5"/>
    <x v="8"/>
    <n v="1"/>
    <x v="0"/>
    <n v="5.57"/>
  </r>
  <r>
    <s v="T1849"/>
    <x v="4"/>
    <d v="2026-09-28T00:00:00"/>
    <d v="1899-12-30T19:45:00"/>
    <n v="107"/>
    <n v="102"/>
    <n v="4"/>
    <s v="Suburban Link"/>
    <n v="24.8"/>
    <n v="28"/>
    <x v="4"/>
    <x v="5"/>
    <n v="0"/>
    <n v="0"/>
    <s v=""/>
    <n v="1"/>
    <n v="1"/>
    <n v="8"/>
    <x v="8"/>
    <n v="1"/>
    <x v="0"/>
    <n v="4.3099999999999996"/>
  </r>
  <r>
    <s v="T1850"/>
    <x v="1"/>
    <d v="2026-09-16T00:00:00"/>
    <d v="1899-12-30T11:00:00"/>
    <n v="86"/>
    <n v="83"/>
    <n v="5"/>
    <s v="Airport Express"/>
    <n v="32"/>
    <n v="14"/>
    <x v="1"/>
    <x v="6"/>
    <n v="0"/>
    <n v="0"/>
    <s v=""/>
    <n v="1"/>
    <n v="1"/>
    <n v="1"/>
    <x v="9"/>
    <n v="0"/>
    <x v="0"/>
    <n v="2.69"/>
  </r>
  <r>
    <s v="T1851"/>
    <x v="1"/>
    <d v="2026-09-13T00:00:00"/>
    <d v="1899-12-30T07:45:00"/>
    <n v="88"/>
    <n v="70"/>
    <n v="6"/>
    <s v="Airport Express"/>
    <n v="32"/>
    <n v="14"/>
    <x v="1"/>
    <x v="2"/>
    <n v="1"/>
    <n v="0"/>
    <s v=""/>
    <n v="1"/>
    <n v="1"/>
    <n v="3"/>
    <x v="6"/>
    <n v="0"/>
    <x v="0"/>
    <n v="2.75"/>
  </r>
  <r>
    <s v="T1852"/>
    <x v="2"/>
    <d v="2026-09-28T00:00:00"/>
    <d v="1899-12-30T13:45:00"/>
    <n v="164"/>
    <n v="168"/>
    <n v="5"/>
    <s v="Downtown Loop"/>
    <n v="12.2"/>
    <n v="18"/>
    <x v="2"/>
    <x v="5"/>
    <n v="0"/>
    <n v="0"/>
    <s v=""/>
    <n v="1"/>
    <n v="1"/>
    <n v="0"/>
    <x v="5"/>
    <n v="0"/>
    <x v="0"/>
    <n v="13.44"/>
  </r>
  <r>
    <s v="T1853"/>
    <x v="3"/>
    <d v="2026-09-05T00:00:00"/>
    <d v="1899-12-30T17:00:00"/>
    <n v="124"/>
    <n v="123"/>
    <n v="3"/>
    <s v="Corridor North"/>
    <n v="18.5"/>
    <n v="22"/>
    <x v="3"/>
    <x v="1"/>
    <n v="1"/>
    <n v="1"/>
    <s v=""/>
    <n v="1"/>
    <n v="1"/>
    <n v="4"/>
    <x v="1"/>
    <n v="1"/>
    <x v="0"/>
    <n v="6.7"/>
  </r>
  <r>
    <s v="T1854"/>
    <x v="1"/>
    <d v="2026-09-13T00:00:00"/>
    <d v="1899-12-30T21:00:00"/>
    <n v="62"/>
    <n v="62"/>
    <n v="3"/>
    <s v="Airport Express"/>
    <n v="32"/>
    <n v="14"/>
    <x v="1"/>
    <x v="2"/>
    <n v="1"/>
    <n v="0"/>
    <s v=""/>
    <n v="1"/>
    <n v="1"/>
    <n v="7"/>
    <x v="10"/>
    <n v="0"/>
    <x v="0"/>
    <n v="1.94"/>
  </r>
  <r>
    <s v="T1855"/>
    <x v="1"/>
    <d v="2026-09-17T00:00:00"/>
    <d v="1899-12-30T05:45:00"/>
    <n v="42"/>
    <n v="39"/>
    <n v="3"/>
    <s v="Airport Express"/>
    <n v="32"/>
    <n v="14"/>
    <x v="1"/>
    <x v="4"/>
    <n v="0"/>
    <n v="0"/>
    <s v=""/>
    <n v="1"/>
    <n v="1"/>
    <n v="4"/>
    <x v="16"/>
    <n v="0"/>
    <x v="0"/>
    <n v="1.31"/>
  </r>
  <r>
    <s v="T1856"/>
    <x v="3"/>
    <d v="2026-09-18T00:00:00"/>
    <d v="1899-12-30T12:30:00"/>
    <n v="119"/>
    <n v="114"/>
    <n v="6"/>
    <s v="Corridor North"/>
    <n v="18.5"/>
    <n v="22"/>
    <x v="3"/>
    <x v="3"/>
    <n v="0"/>
    <n v="0"/>
    <s v=""/>
    <n v="1"/>
    <n v="1"/>
    <n v="3"/>
    <x v="14"/>
    <n v="0"/>
    <x v="0"/>
    <n v="6.43"/>
  </r>
  <r>
    <s v="T1857"/>
    <x v="3"/>
    <d v="2026-09-08T00:00:00"/>
    <d v="1899-12-30T10:30:00"/>
    <n v="117"/>
    <n v="108"/>
    <n v="6"/>
    <s v="Corridor North"/>
    <n v="18.5"/>
    <n v="22"/>
    <x v="3"/>
    <x v="0"/>
    <n v="0"/>
    <n v="0"/>
    <s v=""/>
    <n v="1"/>
    <n v="1"/>
    <n v="10"/>
    <x v="3"/>
    <n v="1"/>
    <x v="0"/>
    <n v="6.32"/>
  </r>
  <r>
    <s v="T1858"/>
    <x v="1"/>
    <d v="2026-09-13T00:00:00"/>
    <d v="1899-12-30T09:00:00"/>
    <n v="106"/>
    <n v="107"/>
    <n v="6"/>
    <s v="Airport Express"/>
    <n v="32"/>
    <n v="14"/>
    <x v="1"/>
    <x v="2"/>
    <n v="1"/>
    <n v="0"/>
    <s v=""/>
    <n v="1"/>
    <n v="1"/>
    <n v="0"/>
    <x v="4"/>
    <n v="1"/>
    <x v="0"/>
    <n v="3.31"/>
  </r>
  <r>
    <s v="T1859"/>
    <x v="3"/>
    <d v="2026-09-30T00:00:00"/>
    <d v="1899-12-30T19:15:00"/>
    <n v="112"/>
    <n v="101"/>
    <n v="5"/>
    <s v="Corridor North"/>
    <n v="18.5"/>
    <n v="22"/>
    <x v="3"/>
    <x v="6"/>
    <n v="0"/>
    <n v="0"/>
    <s v=""/>
    <n v="1"/>
    <n v="1"/>
    <n v="0"/>
    <x v="8"/>
    <n v="1"/>
    <x v="0"/>
    <n v="6.05"/>
  </r>
  <r>
    <s v="T1860"/>
    <x v="1"/>
    <d v="2026-09-29T00:00:00"/>
    <d v="1899-12-30T20:15:00"/>
    <n v="33"/>
    <n v="25"/>
    <n v="3"/>
    <s v="Airport Express"/>
    <n v="32"/>
    <n v="14"/>
    <x v="1"/>
    <x v="0"/>
    <n v="0"/>
    <n v="0"/>
    <s v=""/>
    <n v="1"/>
    <n v="1"/>
    <n v="2"/>
    <x v="15"/>
    <n v="0"/>
    <x v="0"/>
    <n v="1.03"/>
  </r>
  <r>
    <s v="T1861"/>
    <x v="1"/>
    <d v="2026-09-19T00:00:00"/>
    <d v="1899-12-30T15:30:00"/>
    <n v="203"/>
    <n v="204"/>
    <n v="7"/>
    <s v="Airport Express"/>
    <n v="32"/>
    <n v="14"/>
    <x v="1"/>
    <x v="1"/>
    <n v="1"/>
    <n v="1"/>
    <s v=""/>
    <n v="1"/>
    <n v="1"/>
    <n v="2"/>
    <x v="17"/>
    <n v="0"/>
    <x v="0"/>
    <n v="6.34"/>
  </r>
  <r>
    <s v="T1862"/>
    <x v="2"/>
    <d v="2026-09-26T00:00:00"/>
    <d v="1899-12-30T14:15:00"/>
    <n v="93"/>
    <n v="97"/>
    <n v="4"/>
    <s v="Downtown Loop"/>
    <n v="12.2"/>
    <n v="18"/>
    <x v="2"/>
    <x v="1"/>
    <n v="1"/>
    <n v="0"/>
    <s v=""/>
    <n v="1"/>
    <n v="1"/>
    <n v="8"/>
    <x v="7"/>
    <n v="0"/>
    <x v="0"/>
    <n v="7.62"/>
  </r>
  <r>
    <s v="T1863"/>
    <x v="3"/>
    <d v="2026-09-03T00:00:00"/>
    <d v="1899-12-30T20:45:00"/>
    <n v="50"/>
    <n v="48"/>
    <n v="3"/>
    <s v="Corridor North"/>
    <n v="18.5"/>
    <n v="22"/>
    <x v="3"/>
    <x v="4"/>
    <n v="0"/>
    <n v="0"/>
    <s v=""/>
    <n v="1"/>
    <n v="1"/>
    <n v="4"/>
    <x v="15"/>
    <n v="0"/>
    <x v="0"/>
    <n v="2.7"/>
  </r>
  <r>
    <s v="T1864"/>
    <x v="1"/>
    <d v="2026-09-24T00:00:00"/>
    <d v="1899-12-30T06:00:00"/>
    <n v="187"/>
    <n v="178"/>
    <n v="6"/>
    <s v="Airport Express"/>
    <n v="32"/>
    <n v="14"/>
    <x v="1"/>
    <x v="4"/>
    <n v="0"/>
    <n v="0"/>
    <s v=""/>
    <n v="1"/>
    <n v="1"/>
    <n v="4"/>
    <x v="12"/>
    <n v="0"/>
    <x v="0"/>
    <n v="5.84"/>
  </r>
  <r>
    <s v="T1865"/>
    <x v="1"/>
    <d v="2026-09-08T00:00:00"/>
    <d v="1899-12-30T07:45:00"/>
    <n v="58"/>
    <n v="67"/>
    <n v="6"/>
    <s v="Airport Express"/>
    <n v="32"/>
    <n v="14"/>
    <x v="1"/>
    <x v="0"/>
    <n v="0"/>
    <n v="0"/>
    <s v=""/>
    <n v="1"/>
    <n v="1"/>
    <n v="4"/>
    <x v="6"/>
    <n v="0"/>
    <x v="0"/>
    <n v="1.81"/>
  </r>
  <r>
    <s v="T1866"/>
    <x v="4"/>
    <d v="2026-09-02T00:00:00"/>
    <d v="1899-12-30T19:30:00"/>
    <n v="150"/>
    <n v="140"/>
    <n v="6"/>
    <s v="Suburban Link"/>
    <n v="24.8"/>
    <n v="28"/>
    <x v="4"/>
    <x v="6"/>
    <n v="0"/>
    <n v="0"/>
    <s v=""/>
    <n v="1"/>
    <n v="1"/>
    <n v="4"/>
    <x v="8"/>
    <n v="1"/>
    <x v="0"/>
    <n v="6.05"/>
  </r>
  <r>
    <s v="T1867"/>
    <x v="0"/>
    <d v="2026-09-08T00:00:00"/>
    <d v="1899-12-30T22:45:00"/>
    <n v="61"/>
    <n v="59"/>
    <n v="4"/>
    <s v="Tech Park Shuttle"/>
    <n v="15"/>
    <n v="16"/>
    <x v="0"/>
    <x v="0"/>
    <n v="0"/>
    <n v="0"/>
    <s v=""/>
    <n v="1"/>
    <n v="1"/>
    <n v="8"/>
    <x v="11"/>
    <n v="0"/>
    <x v="0"/>
    <n v="4.07"/>
  </r>
  <r>
    <s v="T1868"/>
    <x v="3"/>
    <d v="2026-09-27T00:00:00"/>
    <d v="1899-12-30T21:45:00"/>
    <n v="64"/>
    <n v="70"/>
    <n v="5"/>
    <s v="Corridor North"/>
    <n v="18.5"/>
    <n v="22"/>
    <x v="3"/>
    <x v="2"/>
    <n v="1"/>
    <n v="0"/>
    <s v="Music Fest"/>
    <n v="1"/>
    <n v="1"/>
    <n v="0"/>
    <x v="10"/>
    <n v="0"/>
    <x v="1"/>
    <n v="3.46"/>
  </r>
  <r>
    <s v="T1869"/>
    <x v="3"/>
    <d v="2026-09-13T00:00:00"/>
    <d v="1899-12-30T11:15:00"/>
    <n v="102"/>
    <n v="107"/>
    <n v="6"/>
    <s v="Corridor North"/>
    <n v="18.5"/>
    <n v="22"/>
    <x v="3"/>
    <x v="2"/>
    <n v="1"/>
    <n v="0"/>
    <s v=""/>
    <n v="1"/>
    <n v="1"/>
    <n v="1"/>
    <x v="9"/>
    <n v="0"/>
    <x v="0"/>
    <n v="5.51"/>
  </r>
  <r>
    <s v="T1870"/>
    <x v="3"/>
    <d v="2026-09-13T00:00:00"/>
    <d v="1899-12-30T11:30:00"/>
    <n v="61"/>
    <n v="59"/>
    <n v="3"/>
    <s v="Corridor North"/>
    <n v="18.5"/>
    <n v="22"/>
    <x v="3"/>
    <x v="2"/>
    <n v="1"/>
    <n v="0"/>
    <s v=""/>
    <n v="1"/>
    <n v="1"/>
    <n v="11"/>
    <x v="9"/>
    <n v="0"/>
    <x v="0"/>
    <n v="3.3"/>
  </r>
  <r>
    <s v="T1871"/>
    <x v="2"/>
    <d v="2026-09-01T00:00:00"/>
    <d v="1899-12-30T05:45:00"/>
    <n v="117"/>
    <n v="111"/>
    <n v="6"/>
    <s v="Downtown Loop"/>
    <n v="12.2"/>
    <n v="18"/>
    <x v="2"/>
    <x v="0"/>
    <n v="0"/>
    <n v="0"/>
    <s v=""/>
    <n v="1"/>
    <n v="1"/>
    <n v="7"/>
    <x v="16"/>
    <n v="0"/>
    <x v="0"/>
    <n v="9.59"/>
  </r>
  <r>
    <s v="T1872"/>
    <x v="1"/>
    <d v="2026-09-06T00:00:00"/>
    <d v="1899-12-30T09:00:00"/>
    <n v="119"/>
    <n v="110"/>
    <n v="6"/>
    <s v="Airport Express"/>
    <n v="32"/>
    <n v="14"/>
    <x v="1"/>
    <x v="2"/>
    <n v="1"/>
    <n v="0"/>
    <s v=""/>
    <n v="1"/>
    <n v="1"/>
    <n v="1"/>
    <x v="4"/>
    <n v="1"/>
    <x v="0"/>
    <n v="3.72"/>
  </r>
  <r>
    <s v="T1873"/>
    <x v="2"/>
    <d v="2026-09-24T00:00:00"/>
    <d v="1899-12-30T19:00:00"/>
    <n v="190"/>
    <n v="177"/>
    <n v="6"/>
    <s v="Downtown Loop"/>
    <n v="12.2"/>
    <n v="18"/>
    <x v="2"/>
    <x v="4"/>
    <n v="0"/>
    <n v="0"/>
    <s v=""/>
    <n v="1"/>
    <n v="1"/>
    <n v="5"/>
    <x v="8"/>
    <n v="1"/>
    <x v="0"/>
    <n v="15.57"/>
  </r>
  <r>
    <s v="T1874"/>
    <x v="1"/>
    <d v="2026-09-19T00:00:00"/>
    <d v="1899-12-30T17:45:00"/>
    <n v="69"/>
    <n v="67"/>
    <n v="3"/>
    <s v="Airport Express"/>
    <n v="32"/>
    <n v="14"/>
    <x v="1"/>
    <x v="1"/>
    <n v="1"/>
    <n v="1"/>
    <s v=""/>
    <n v="1"/>
    <n v="1"/>
    <n v="4"/>
    <x v="1"/>
    <n v="1"/>
    <x v="0"/>
    <n v="2.16"/>
  </r>
  <r>
    <s v="T1875"/>
    <x v="2"/>
    <d v="2026-09-16T00:00:00"/>
    <d v="1899-12-30T12:00:00"/>
    <n v="120"/>
    <n v="114"/>
    <n v="4"/>
    <s v="Downtown Loop"/>
    <n v="12.2"/>
    <n v="18"/>
    <x v="2"/>
    <x v="6"/>
    <n v="0"/>
    <n v="0"/>
    <s v=""/>
    <n v="1"/>
    <n v="1"/>
    <n v="1"/>
    <x v="14"/>
    <n v="0"/>
    <x v="0"/>
    <n v="9.84"/>
  </r>
  <r>
    <s v="T1876"/>
    <x v="2"/>
    <d v="2026-09-08T00:00:00"/>
    <d v="1899-12-30T13:30:00"/>
    <n v="86"/>
    <n v="91"/>
    <n v="4"/>
    <s v="Downtown Loop"/>
    <n v="12.2"/>
    <n v="18"/>
    <x v="2"/>
    <x v="0"/>
    <n v="0"/>
    <n v="0"/>
    <s v=""/>
    <n v="1"/>
    <n v="1"/>
    <n v="11"/>
    <x v="5"/>
    <n v="0"/>
    <x v="0"/>
    <n v="7.05"/>
  </r>
  <r>
    <s v="T1877"/>
    <x v="4"/>
    <d v="2026-09-28T00:00:00"/>
    <d v="1899-12-30T05:45:00"/>
    <n v="160"/>
    <n v="160"/>
    <n v="7"/>
    <s v="Suburban Link"/>
    <n v="24.8"/>
    <n v="28"/>
    <x v="4"/>
    <x v="5"/>
    <n v="0"/>
    <n v="0"/>
    <s v=""/>
    <n v="1"/>
    <n v="1"/>
    <n v="0"/>
    <x v="16"/>
    <n v="0"/>
    <x v="0"/>
    <n v="6.45"/>
  </r>
  <r>
    <s v="T1878"/>
    <x v="1"/>
    <d v="2026-09-01T00:00:00"/>
    <d v="1899-12-30T07:15:00"/>
    <n v="76"/>
    <n v="66"/>
    <n v="4"/>
    <s v="Airport Express"/>
    <n v="32"/>
    <n v="14"/>
    <x v="1"/>
    <x v="0"/>
    <n v="0"/>
    <n v="0"/>
    <s v=""/>
    <n v="1"/>
    <n v="1"/>
    <n v="4"/>
    <x v="6"/>
    <n v="0"/>
    <x v="0"/>
    <n v="2.38"/>
  </r>
  <r>
    <s v="T1879"/>
    <x v="2"/>
    <d v="2026-09-27T00:00:00"/>
    <d v="1899-12-30T12:30:00"/>
    <n v="72"/>
    <n v="67"/>
    <n v="5"/>
    <s v="Downtown Loop"/>
    <n v="12.2"/>
    <n v="18"/>
    <x v="2"/>
    <x v="2"/>
    <n v="1"/>
    <n v="0"/>
    <s v="Music Fest"/>
    <n v="1"/>
    <n v="1"/>
    <n v="2"/>
    <x v="14"/>
    <n v="0"/>
    <x v="1"/>
    <n v="5.9"/>
  </r>
  <r>
    <s v="T1880"/>
    <x v="4"/>
    <d v="2026-09-27T00:00:00"/>
    <d v="1899-12-30T13:15:00"/>
    <n v="112"/>
    <n v="109"/>
    <n v="2"/>
    <s v="Suburban Link"/>
    <n v="24.8"/>
    <n v="28"/>
    <x v="4"/>
    <x v="2"/>
    <n v="1"/>
    <n v="0"/>
    <s v="Music Fest"/>
    <n v="1"/>
    <n v="1"/>
    <n v="1"/>
    <x v="5"/>
    <n v="0"/>
    <x v="1"/>
    <n v="4.5199999999999996"/>
  </r>
  <r>
    <s v="T1881"/>
    <x v="3"/>
    <d v="2026-09-16T00:00:00"/>
    <d v="1899-12-30T18:15:00"/>
    <n v="123"/>
    <n v="104"/>
    <n v="6"/>
    <s v="Corridor North"/>
    <n v="18.5"/>
    <n v="22"/>
    <x v="3"/>
    <x v="6"/>
    <n v="0"/>
    <n v="0"/>
    <s v=""/>
    <n v="1"/>
    <n v="1"/>
    <n v="11"/>
    <x v="0"/>
    <n v="1"/>
    <x v="0"/>
    <n v="6.65"/>
  </r>
  <r>
    <s v="T1882"/>
    <x v="1"/>
    <d v="2026-09-09T00:00:00"/>
    <d v="1899-12-30T08:15:00"/>
    <n v="164"/>
    <n v="151"/>
    <n v="6"/>
    <s v="Airport Express"/>
    <n v="32"/>
    <n v="14"/>
    <x v="1"/>
    <x v="6"/>
    <n v="0"/>
    <n v="0"/>
    <s v=""/>
    <n v="1"/>
    <n v="1"/>
    <n v="2"/>
    <x v="13"/>
    <n v="1"/>
    <x v="0"/>
    <n v="5.12"/>
  </r>
  <r>
    <s v="T1883"/>
    <x v="2"/>
    <d v="2026-09-13T00:00:00"/>
    <d v="1899-12-30T10:30:00"/>
    <n v="45"/>
    <n v="46"/>
    <n v="4"/>
    <s v="Downtown Loop"/>
    <n v="12.2"/>
    <n v="18"/>
    <x v="2"/>
    <x v="2"/>
    <n v="1"/>
    <n v="0"/>
    <s v=""/>
    <n v="1"/>
    <n v="1"/>
    <n v="1"/>
    <x v="3"/>
    <n v="1"/>
    <x v="0"/>
    <n v="3.69"/>
  </r>
  <r>
    <s v="T1884"/>
    <x v="0"/>
    <d v="2026-09-11T00:00:00"/>
    <d v="1899-12-30T07:45:00"/>
    <n v="117"/>
    <n v="103"/>
    <n v="6"/>
    <s v="Tech Park Shuttle"/>
    <n v="15"/>
    <n v="16"/>
    <x v="0"/>
    <x v="3"/>
    <n v="0"/>
    <n v="0"/>
    <s v=""/>
    <n v="1"/>
    <n v="1"/>
    <n v="0"/>
    <x v="6"/>
    <n v="0"/>
    <x v="0"/>
    <n v="7.8"/>
  </r>
  <r>
    <s v="T1885"/>
    <x v="3"/>
    <d v="2026-09-13T00:00:00"/>
    <d v="1899-12-30T07:15:00"/>
    <n v="91"/>
    <n v="88"/>
    <n v="5"/>
    <s v="Corridor North"/>
    <n v="18.5"/>
    <n v="22"/>
    <x v="3"/>
    <x v="2"/>
    <n v="1"/>
    <n v="0"/>
    <s v=""/>
    <n v="1"/>
    <n v="1"/>
    <n v="3"/>
    <x v="6"/>
    <n v="0"/>
    <x v="0"/>
    <n v="4.92"/>
  </r>
  <r>
    <s v="T1886"/>
    <x v="3"/>
    <d v="2026-09-25T00:00:00"/>
    <d v="1899-12-30T17:00:00"/>
    <n v="43"/>
    <n v="40"/>
    <n v="3"/>
    <s v="Corridor North"/>
    <n v="18.5"/>
    <n v="22"/>
    <x v="3"/>
    <x v="3"/>
    <n v="0"/>
    <n v="0"/>
    <s v=""/>
    <n v="1"/>
    <n v="1"/>
    <n v="8"/>
    <x v="1"/>
    <n v="1"/>
    <x v="0"/>
    <n v="2.3199999999999998"/>
  </r>
  <r>
    <s v="T1887"/>
    <x v="3"/>
    <d v="2026-09-21T00:00:00"/>
    <d v="1899-12-30T06:00:00"/>
    <n v="93"/>
    <n v="87"/>
    <n v="4"/>
    <s v="Corridor North"/>
    <n v="18.5"/>
    <n v="22"/>
    <x v="3"/>
    <x v="5"/>
    <n v="0"/>
    <n v="0"/>
    <s v=""/>
    <n v="1"/>
    <n v="1"/>
    <n v="14"/>
    <x v="12"/>
    <n v="0"/>
    <x v="0"/>
    <n v="5.03"/>
  </r>
  <r>
    <s v="T1888"/>
    <x v="4"/>
    <d v="2026-09-10T00:00:00"/>
    <d v="1899-12-30T10:45:00"/>
    <n v="76"/>
    <n v="72"/>
    <n v="5"/>
    <s v="Suburban Link"/>
    <n v="24.8"/>
    <n v="28"/>
    <x v="4"/>
    <x v="4"/>
    <n v="0"/>
    <n v="0"/>
    <s v=""/>
    <n v="1"/>
    <n v="1"/>
    <n v="20"/>
    <x v="3"/>
    <n v="1"/>
    <x v="0"/>
    <n v="3.06"/>
  </r>
  <r>
    <s v="T1889"/>
    <x v="3"/>
    <d v="2026-09-04T00:00:00"/>
    <d v="1899-12-30T06:45:00"/>
    <n v="169"/>
    <n v="170"/>
    <n v="6"/>
    <s v="Corridor North"/>
    <n v="18.5"/>
    <n v="22"/>
    <x v="3"/>
    <x v="3"/>
    <n v="0"/>
    <n v="0"/>
    <s v=""/>
    <n v="1"/>
    <n v="1"/>
    <n v="28"/>
    <x v="12"/>
    <n v="0"/>
    <x v="0"/>
    <n v="9.14"/>
  </r>
  <r>
    <s v="T1890"/>
    <x v="1"/>
    <d v="2026-09-27T00:00:00"/>
    <d v="1899-12-30T21:30:00"/>
    <n v="96"/>
    <n v="87"/>
    <n v="4"/>
    <s v="Airport Express"/>
    <n v="32"/>
    <n v="14"/>
    <x v="1"/>
    <x v="2"/>
    <n v="1"/>
    <n v="0"/>
    <s v="Music Fest"/>
    <n v="1"/>
    <n v="1"/>
    <n v="4"/>
    <x v="10"/>
    <n v="0"/>
    <x v="1"/>
    <n v="3"/>
  </r>
  <r>
    <s v="T1891"/>
    <x v="2"/>
    <d v="2026-09-06T00:00:00"/>
    <d v="1899-12-30T06:15:00"/>
    <n v="173"/>
    <n v="173"/>
    <n v="6"/>
    <s v="Downtown Loop"/>
    <n v="12.2"/>
    <n v="18"/>
    <x v="2"/>
    <x v="2"/>
    <n v="1"/>
    <n v="0"/>
    <s v=""/>
    <n v="1"/>
    <n v="1"/>
    <n v="8"/>
    <x v="12"/>
    <n v="0"/>
    <x v="0"/>
    <n v="14.18"/>
  </r>
  <r>
    <s v="T1892"/>
    <x v="2"/>
    <d v="2026-09-28T00:00:00"/>
    <d v="1899-12-30T20:15:00"/>
    <n v="113"/>
    <n v="113"/>
    <n v="7"/>
    <s v="Downtown Loop"/>
    <n v="12.2"/>
    <n v="18"/>
    <x v="2"/>
    <x v="5"/>
    <n v="0"/>
    <n v="0"/>
    <s v=""/>
    <n v="1"/>
    <n v="1"/>
    <n v="0"/>
    <x v="15"/>
    <n v="0"/>
    <x v="0"/>
    <n v="9.26"/>
  </r>
  <r>
    <s v="T1893"/>
    <x v="0"/>
    <d v="2026-09-07T00:00:00"/>
    <d v="1899-12-30T06:15:00"/>
    <n v="126"/>
    <n v="123"/>
    <n v="7"/>
    <s v="Tech Park Shuttle"/>
    <n v="15"/>
    <n v="16"/>
    <x v="0"/>
    <x v="5"/>
    <n v="0"/>
    <n v="0"/>
    <s v=""/>
    <n v="1"/>
    <n v="1"/>
    <n v="4"/>
    <x v="12"/>
    <n v="0"/>
    <x v="0"/>
    <n v="8.4"/>
  </r>
  <r>
    <s v="T1894"/>
    <x v="3"/>
    <d v="2026-09-05T00:00:00"/>
    <d v="1899-12-30T17:45:00"/>
    <n v="76"/>
    <n v="83"/>
    <n v="2"/>
    <s v="Corridor North"/>
    <n v="18.5"/>
    <n v="22"/>
    <x v="3"/>
    <x v="1"/>
    <n v="1"/>
    <n v="1"/>
    <s v=""/>
    <n v="1"/>
    <n v="1"/>
    <n v="11"/>
    <x v="1"/>
    <n v="1"/>
    <x v="0"/>
    <n v="4.1100000000000003"/>
  </r>
  <r>
    <s v="T1895"/>
    <x v="4"/>
    <d v="2026-09-11T00:00:00"/>
    <d v="1899-12-30T19:30:00"/>
    <n v="61"/>
    <n v="64"/>
    <n v="3"/>
    <s v="Suburban Link"/>
    <n v="24.8"/>
    <n v="28"/>
    <x v="4"/>
    <x v="3"/>
    <n v="0"/>
    <n v="0"/>
    <s v=""/>
    <n v="1"/>
    <n v="1"/>
    <n v="2"/>
    <x v="8"/>
    <n v="1"/>
    <x v="0"/>
    <n v="2.46"/>
  </r>
  <r>
    <s v="T1896"/>
    <x v="3"/>
    <d v="2026-09-13T00:00:00"/>
    <d v="1899-12-30T06:30:00"/>
    <n v="140"/>
    <n v="152"/>
    <n v="4"/>
    <s v="Corridor North"/>
    <n v="18.5"/>
    <n v="22"/>
    <x v="3"/>
    <x v="2"/>
    <n v="1"/>
    <n v="0"/>
    <s v=""/>
    <n v="1"/>
    <n v="1"/>
    <n v="4"/>
    <x v="12"/>
    <n v="0"/>
    <x v="0"/>
    <n v="7.57"/>
  </r>
  <r>
    <s v="T1897"/>
    <x v="3"/>
    <d v="2026-09-26T00:00:00"/>
    <d v="1899-12-30T07:45:00"/>
    <n v="98"/>
    <n v="92"/>
    <n v="4"/>
    <s v="Corridor North"/>
    <n v="18.5"/>
    <n v="22"/>
    <x v="3"/>
    <x v="1"/>
    <n v="1"/>
    <n v="0"/>
    <s v=""/>
    <n v="1"/>
    <n v="1"/>
    <n v="1"/>
    <x v="6"/>
    <n v="0"/>
    <x v="0"/>
    <n v="5.3"/>
  </r>
  <r>
    <s v="T1898"/>
    <x v="0"/>
    <d v="2026-09-25T00:00:00"/>
    <d v="1899-12-30T18:45:00"/>
    <n v="115"/>
    <n v="120"/>
    <n v="4"/>
    <s v="Tech Park Shuttle"/>
    <n v="15"/>
    <n v="16"/>
    <x v="0"/>
    <x v="3"/>
    <n v="0"/>
    <n v="0"/>
    <s v=""/>
    <n v="1"/>
    <n v="1"/>
    <n v="3"/>
    <x v="0"/>
    <n v="1"/>
    <x v="0"/>
    <n v="7.67"/>
  </r>
  <r>
    <s v="T1899"/>
    <x v="3"/>
    <d v="2026-09-19T00:00:00"/>
    <d v="1899-12-30T11:00:00"/>
    <n v="79"/>
    <n v="75"/>
    <n v="3"/>
    <s v="Corridor North"/>
    <n v="18.5"/>
    <n v="22"/>
    <x v="3"/>
    <x v="1"/>
    <n v="1"/>
    <n v="1"/>
    <s v=""/>
    <n v="1"/>
    <n v="1"/>
    <n v="11"/>
    <x v="9"/>
    <n v="0"/>
    <x v="0"/>
    <n v="4.2699999999999996"/>
  </r>
  <r>
    <s v="T1900"/>
    <x v="1"/>
    <d v="2026-09-23T00:00:00"/>
    <d v="1899-12-30T11:00:00"/>
    <n v="129"/>
    <n v="129"/>
    <n v="6"/>
    <s v="Airport Express"/>
    <n v="32"/>
    <n v="14"/>
    <x v="1"/>
    <x v="6"/>
    <n v="0"/>
    <n v="0"/>
    <s v=""/>
    <n v="1"/>
    <n v="1"/>
    <n v="2"/>
    <x v="9"/>
    <n v="0"/>
    <x v="0"/>
    <n v="4.03"/>
  </r>
  <r>
    <s v="T1901"/>
    <x v="2"/>
    <d v="2026-09-10T00:00:00"/>
    <d v="1899-12-30T21:00:00"/>
    <n v="174"/>
    <n v="173"/>
    <n v="7"/>
    <s v="Downtown Loop"/>
    <n v="12.2"/>
    <n v="18"/>
    <x v="2"/>
    <x v="4"/>
    <n v="0"/>
    <n v="0"/>
    <s v=""/>
    <n v="1"/>
    <n v="1"/>
    <n v="1"/>
    <x v="10"/>
    <n v="0"/>
    <x v="0"/>
    <n v="14.26"/>
  </r>
  <r>
    <s v="T1902"/>
    <x v="3"/>
    <d v="2026-09-10T00:00:00"/>
    <d v="1899-12-30T17:00:00"/>
    <n v="148"/>
    <n v="147"/>
    <n v="4"/>
    <s v="Corridor North"/>
    <n v="18.5"/>
    <n v="22"/>
    <x v="3"/>
    <x v="4"/>
    <n v="0"/>
    <n v="0"/>
    <s v=""/>
    <n v="1"/>
    <n v="1"/>
    <n v="0"/>
    <x v="1"/>
    <n v="1"/>
    <x v="0"/>
    <n v="8"/>
  </r>
  <r>
    <s v="T1903"/>
    <x v="0"/>
    <d v="2026-09-11T00:00:00"/>
    <d v="1899-12-30T21:30:00"/>
    <n v="167"/>
    <n v="167"/>
    <n v="7"/>
    <s v="Tech Park Shuttle"/>
    <n v="15"/>
    <n v="16"/>
    <x v="0"/>
    <x v="3"/>
    <n v="0"/>
    <n v="0"/>
    <s v=""/>
    <n v="1"/>
    <n v="1"/>
    <n v="0"/>
    <x v="10"/>
    <n v="0"/>
    <x v="0"/>
    <n v="11.13"/>
  </r>
  <r>
    <s v="T1904"/>
    <x v="3"/>
    <d v="2026-09-21T00:00:00"/>
    <d v="1899-12-30T14:15:00"/>
    <n v="208"/>
    <n v="205"/>
    <n v="5"/>
    <s v="Corridor North"/>
    <n v="18.5"/>
    <n v="22"/>
    <x v="3"/>
    <x v="5"/>
    <n v="0"/>
    <n v="0"/>
    <s v=""/>
    <n v="1"/>
    <n v="1"/>
    <n v="4"/>
    <x v="7"/>
    <n v="0"/>
    <x v="0"/>
    <n v="11.24"/>
  </r>
  <r>
    <s v="T1905"/>
    <x v="4"/>
    <d v="2026-09-30T00:00:00"/>
    <d v="1899-12-30T08:45:00"/>
    <n v="95"/>
    <n v="91"/>
    <n v="4"/>
    <s v="Suburban Link"/>
    <n v="24.8"/>
    <n v="28"/>
    <x v="4"/>
    <x v="6"/>
    <n v="0"/>
    <n v="0"/>
    <s v=""/>
    <n v="1"/>
    <n v="1"/>
    <n v="18"/>
    <x v="13"/>
    <n v="1"/>
    <x v="0"/>
    <n v="3.83"/>
  </r>
  <r>
    <s v="T1906"/>
    <x v="1"/>
    <d v="2026-09-07T00:00:00"/>
    <d v="1899-12-30T22:15:00"/>
    <n v="62"/>
    <n v="66"/>
    <n v="5"/>
    <s v="Airport Express"/>
    <n v="32"/>
    <n v="14"/>
    <x v="1"/>
    <x v="5"/>
    <n v="0"/>
    <n v="0"/>
    <s v=""/>
    <n v="1"/>
    <n v="1"/>
    <n v="1"/>
    <x v="11"/>
    <n v="0"/>
    <x v="0"/>
    <n v="1.94"/>
  </r>
  <r>
    <s v="T1907"/>
    <x v="1"/>
    <d v="2026-09-18T00:00:00"/>
    <d v="1899-12-30T22:45:00"/>
    <n v="64"/>
    <n v="74"/>
    <n v="3"/>
    <s v="Airport Express"/>
    <n v="32"/>
    <n v="14"/>
    <x v="1"/>
    <x v="3"/>
    <n v="0"/>
    <n v="0"/>
    <s v=""/>
    <n v="1"/>
    <n v="1"/>
    <n v="2"/>
    <x v="11"/>
    <n v="0"/>
    <x v="0"/>
    <n v="2"/>
  </r>
  <r>
    <s v="T1908"/>
    <x v="3"/>
    <d v="2026-09-04T00:00:00"/>
    <d v="1899-12-30T18:45:00"/>
    <n v="93"/>
    <n v="101"/>
    <n v="3"/>
    <s v="Corridor North"/>
    <n v="18.5"/>
    <n v="22"/>
    <x v="3"/>
    <x v="3"/>
    <n v="0"/>
    <n v="0"/>
    <s v=""/>
    <n v="1"/>
    <n v="1"/>
    <n v="8"/>
    <x v="0"/>
    <n v="1"/>
    <x v="0"/>
    <n v="5.03"/>
  </r>
  <r>
    <s v="T1909"/>
    <x v="2"/>
    <d v="2026-09-02T00:00:00"/>
    <d v="1899-12-30T19:15:00"/>
    <n v="78"/>
    <n v="83"/>
    <n v="6"/>
    <s v="Downtown Loop"/>
    <n v="12.2"/>
    <n v="18"/>
    <x v="2"/>
    <x v="6"/>
    <n v="0"/>
    <n v="0"/>
    <s v=""/>
    <n v="1"/>
    <n v="1"/>
    <n v="9"/>
    <x v="8"/>
    <n v="1"/>
    <x v="0"/>
    <n v="6.39"/>
  </r>
  <r>
    <s v="T1910"/>
    <x v="3"/>
    <d v="2026-09-14T00:00:00"/>
    <d v="1899-12-30T08:00:00"/>
    <n v="62"/>
    <n v="59"/>
    <n v="6"/>
    <s v="Corridor North"/>
    <n v="18.5"/>
    <n v="22"/>
    <x v="3"/>
    <x v="5"/>
    <n v="0"/>
    <n v="0"/>
    <s v=""/>
    <n v="1"/>
    <n v="1"/>
    <n v="5"/>
    <x v="13"/>
    <n v="1"/>
    <x v="0"/>
    <n v="3.35"/>
  </r>
  <r>
    <s v="T1911"/>
    <x v="3"/>
    <d v="2026-09-13T00:00:00"/>
    <d v="1899-12-30T12:15:00"/>
    <n v="89"/>
    <n v="84"/>
    <n v="3"/>
    <s v="Corridor North"/>
    <n v="18.5"/>
    <n v="22"/>
    <x v="3"/>
    <x v="2"/>
    <n v="1"/>
    <n v="0"/>
    <s v=""/>
    <n v="1"/>
    <n v="1"/>
    <n v="1"/>
    <x v="14"/>
    <n v="0"/>
    <x v="0"/>
    <n v="4.8099999999999996"/>
  </r>
  <r>
    <s v="T1912"/>
    <x v="3"/>
    <d v="2026-09-29T00:00:00"/>
    <d v="1899-12-30T16:30:00"/>
    <n v="84"/>
    <n v="75"/>
    <n v="5"/>
    <s v="Corridor North"/>
    <n v="18.5"/>
    <n v="22"/>
    <x v="3"/>
    <x v="0"/>
    <n v="0"/>
    <n v="0"/>
    <s v=""/>
    <n v="1"/>
    <n v="1"/>
    <n v="8"/>
    <x v="2"/>
    <n v="0"/>
    <x v="0"/>
    <n v="4.54"/>
  </r>
  <r>
    <s v="T1913"/>
    <x v="1"/>
    <d v="2026-09-12T00:00:00"/>
    <d v="1899-12-30T18:15:00"/>
    <n v="84"/>
    <n v="84"/>
    <n v="4"/>
    <s v="Airport Express"/>
    <n v="32"/>
    <n v="14"/>
    <x v="1"/>
    <x v="1"/>
    <n v="1"/>
    <n v="0"/>
    <s v="Tech Expo"/>
    <n v="1"/>
    <n v="1"/>
    <n v="0"/>
    <x v="0"/>
    <n v="1"/>
    <x v="1"/>
    <n v="2.62"/>
  </r>
  <r>
    <s v="T1914"/>
    <x v="0"/>
    <d v="2026-09-07T00:00:00"/>
    <d v="1899-12-30T22:45:00"/>
    <n v="57"/>
    <n v="51"/>
    <n v="6"/>
    <s v="Tech Park Shuttle"/>
    <n v="15"/>
    <n v="16"/>
    <x v="0"/>
    <x v="5"/>
    <n v="0"/>
    <n v="0"/>
    <s v=""/>
    <n v="1"/>
    <n v="1"/>
    <n v="5"/>
    <x v="11"/>
    <n v="0"/>
    <x v="0"/>
    <n v="3.8"/>
  </r>
  <r>
    <s v="T1915"/>
    <x v="3"/>
    <d v="2026-09-02T00:00:00"/>
    <d v="1899-12-30T06:30:00"/>
    <n v="126"/>
    <n v="121"/>
    <n v="4"/>
    <s v="Corridor North"/>
    <n v="18.5"/>
    <n v="22"/>
    <x v="3"/>
    <x v="6"/>
    <n v="0"/>
    <n v="0"/>
    <s v=""/>
    <n v="1"/>
    <n v="1"/>
    <n v="7"/>
    <x v="12"/>
    <n v="0"/>
    <x v="0"/>
    <n v="6.81"/>
  </r>
  <r>
    <s v="T1916"/>
    <x v="2"/>
    <d v="2026-09-13T00:00:00"/>
    <d v="1899-12-30T15:00:00"/>
    <n v="140"/>
    <n v="140"/>
    <n v="5"/>
    <s v="Downtown Loop"/>
    <n v="12.2"/>
    <n v="18"/>
    <x v="2"/>
    <x v="2"/>
    <n v="1"/>
    <n v="0"/>
    <s v=""/>
    <n v="1"/>
    <n v="1"/>
    <n v="18"/>
    <x v="17"/>
    <n v="0"/>
    <x v="0"/>
    <n v="11.48"/>
  </r>
  <r>
    <s v="T1917"/>
    <x v="0"/>
    <d v="2026-09-14T00:00:00"/>
    <d v="1899-12-30T16:00:00"/>
    <n v="90"/>
    <n v="80"/>
    <n v="4"/>
    <s v="Tech Park Shuttle"/>
    <n v="15"/>
    <n v="16"/>
    <x v="0"/>
    <x v="5"/>
    <n v="0"/>
    <n v="0"/>
    <s v=""/>
    <n v="1"/>
    <n v="1"/>
    <n v="4"/>
    <x v="2"/>
    <n v="0"/>
    <x v="0"/>
    <n v="6"/>
  </r>
  <r>
    <s v="T1918"/>
    <x v="4"/>
    <d v="2026-09-27T00:00:00"/>
    <d v="1899-12-30T19:00:00"/>
    <n v="59"/>
    <n v="51"/>
    <n v="4"/>
    <s v="Suburban Link"/>
    <n v="24.8"/>
    <n v="28"/>
    <x v="4"/>
    <x v="2"/>
    <n v="1"/>
    <n v="0"/>
    <s v="Music Fest"/>
    <n v="1"/>
    <n v="1"/>
    <n v="9"/>
    <x v="8"/>
    <n v="1"/>
    <x v="1"/>
    <n v="2.38"/>
  </r>
  <r>
    <s v="T1919"/>
    <x v="1"/>
    <d v="2026-09-17T00:00:00"/>
    <d v="1899-12-30T21:15:00"/>
    <n v="55"/>
    <n v="46"/>
    <n v="3"/>
    <s v="Airport Express"/>
    <n v="32"/>
    <n v="14"/>
    <x v="1"/>
    <x v="4"/>
    <n v="0"/>
    <n v="0"/>
    <s v=""/>
    <n v="1"/>
    <n v="1"/>
    <n v="8"/>
    <x v="10"/>
    <n v="0"/>
    <x v="0"/>
    <n v="1.72"/>
  </r>
  <r>
    <s v="T1920"/>
    <x v="3"/>
    <d v="2026-09-09T00:00:00"/>
    <d v="1899-12-30T22:45:00"/>
    <n v="137"/>
    <n v="132"/>
    <n v="6"/>
    <s v="Corridor North"/>
    <n v="18.5"/>
    <n v="22"/>
    <x v="3"/>
    <x v="6"/>
    <n v="0"/>
    <n v="0"/>
    <s v=""/>
    <n v="1"/>
    <n v="1"/>
    <n v="8"/>
    <x v="11"/>
    <n v="0"/>
    <x v="0"/>
    <n v="7.41"/>
  </r>
  <r>
    <s v="T1921"/>
    <x v="2"/>
    <d v="2026-09-17T00:00:00"/>
    <d v="1899-12-30T10:00:00"/>
    <n v="200"/>
    <n v="188"/>
    <n v="7"/>
    <s v="Downtown Loop"/>
    <n v="12.2"/>
    <n v="18"/>
    <x v="2"/>
    <x v="4"/>
    <n v="0"/>
    <n v="0"/>
    <s v=""/>
    <n v="1"/>
    <n v="1"/>
    <n v="4"/>
    <x v="3"/>
    <n v="1"/>
    <x v="0"/>
    <n v="16.39"/>
  </r>
  <r>
    <s v="T1922"/>
    <x v="0"/>
    <d v="2026-09-08T00:00:00"/>
    <d v="1899-12-30T22:45:00"/>
    <n v="64"/>
    <n v="66"/>
    <n v="5"/>
    <s v="Tech Park Shuttle"/>
    <n v="15"/>
    <n v="16"/>
    <x v="0"/>
    <x v="0"/>
    <n v="0"/>
    <n v="0"/>
    <s v=""/>
    <n v="1"/>
    <n v="1"/>
    <n v="3"/>
    <x v="11"/>
    <n v="0"/>
    <x v="0"/>
    <n v="4.2699999999999996"/>
  </r>
  <r>
    <s v="T1923"/>
    <x v="2"/>
    <d v="2026-09-02T00:00:00"/>
    <d v="1899-12-30T13:15:00"/>
    <n v="57"/>
    <n v="49"/>
    <n v="3"/>
    <s v="Downtown Loop"/>
    <n v="12.2"/>
    <n v="18"/>
    <x v="2"/>
    <x v="6"/>
    <n v="0"/>
    <n v="0"/>
    <s v=""/>
    <n v="1"/>
    <n v="1"/>
    <n v="3"/>
    <x v="5"/>
    <n v="0"/>
    <x v="0"/>
    <n v="4.67"/>
  </r>
  <r>
    <s v="T1924"/>
    <x v="4"/>
    <d v="2026-09-28T00:00:00"/>
    <d v="1899-12-30T09:45:00"/>
    <n v="31"/>
    <n v="35"/>
    <n v="4"/>
    <s v="Suburban Link"/>
    <n v="24.8"/>
    <n v="28"/>
    <x v="4"/>
    <x v="5"/>
    <n v="0"/>
    <n v="0"/>
    <s v=""/>
    <n v="1"/>
    <n v="1"/>
    <n v="0"/>
    <x v="4"/>
    <n v="1"/>
    <x v="0"/>
    <n v="1.25"/>
  </r>
  <r>
    <s v="T1925"/>
    <x v="1"/>
    <d v="2026-09-24T00:00:00"/>
    <d v="1899-12-30T15:00:00"/>
    <n v="86"/>
    <n v="91"/>
    <n v="3"/>
    <s v="Airport Express"/>
    <n v="32"/>
    <n v="14"/>
    <x v="1"/>
    <x v="4"/>
    <n v="0"/>
    <n v="0"/>
    <s v=""/>
    <n v="1"/>
    <n v="1"/>
    <n v="5"/>
    <x v="17"/>
    <n v="0"/>
    <x v="0"/>
    <n v="2.69"/>
  </r>
  <r>
    <s v="T1926"/>
    <x v="2"/>
    <d v="2026-09-13T00:00:00"/>
    <d v="1899-12-30T05:30:00"/>
    <n v="141"/>
    <n v="141"/>
    <n v="6"/>
    <s v="Downtown Loop"/>
    <n v="12.2"/>
    <n v="18"/>
    <x v="2"/>
    <x v="2"/>
    <n v="1"/>
    <n v="0"/>
    <s v=""/>
    <n v="1"/>
    <n v="1"/>
    <n v="11"/>
    <x v="16"/>
    <n v="0"/>
    <x v="0"/>
    <n v="11.56"/>
  </r>
  <r>
    <s v="T1927"/>
    <x v="0"/>
    <d v="2026-09-03T00:00:00"/>
    <d v="1899-12-30T13:30:00"/>
    <n v="129"/>
    <n v="123"/>
    <n v="4"/>
    <s v="Tech Park Shuttle"/>
    <n v="15"/>
    <n v="16"/>
    <x v="0"/>
    <x v="4"/>
    <n v="0"/>
    <n v="0"/>
    <s v=""/>
    <n v="1"/>
    <n v="1"/>
    <n v="8"/>
    <x v="5"/>
    <n v="0"/>
    <x v="0"/>
    <n v="8.6"/>
  </r>
  <r>
    <s v="T1928"/>
    <x v="2"/>
    <d v="2026-09-16T00:00:00"/>
    <d v="1899-12-30T06:45:00"/>
    <n v="115"/>
    <n v="123"/>
    <n v="4"/>
    <s v="Downtown Loop"/>
    <n v="12.2"/>
    <n v="18"/>
    <x v="2"/>
    <x v="6"/>
    <n v="0"/>
    <n v="0"/>
    <s v=""/>
    <n v="1"/>
    <n v="1"/>
    <n v="14"/>
    <x v="12"/>
    <n v="0"/>
    <x v="0"/>
    <n v="9.43"/>
  </r>
  <r>
    <s v="T1929"/>
    <x v="2"/>
    <d v="2026-09-06T00:00:00"/>
    <d v="1899-12-30T08:45:00"/>
    <n v="218"/>
    <n v="219"/>
    <n v="6"/>
    <s v="Downtown Loop"/>
    <n v="12.2"/>
    <n v="18"/>
    <x v="2"/>
    <x v="2"/>
    <n v="1"/>
    <n v="0"/>
    <s v=""/>
    <n v="1"/>
    <n v="1"/>
    <n v="8"/>
    <x v="13"/>
    <n v="1"/>
    <x v="0"/>
    <n v="17.87"/>
  </r>
  <r>
    <s v="T1930"/>
    <x v="2"/>
    <d v="2026-09-19T00:00:00"/>
    <d v="1899-12-30T22:30:00"/>
    <n v="177"/>
    <n v="164"/>
    <n v="6"/>
    <s v="Downtown Loop"/>
    <n v="12.2"/>
    <n v="18"/>
    <x v="2"/>
    <x v="1"/>
    <n v="1"/>
    <n v="1"/>
    <s v=""/>
    <n v="1"/>
    <n v="1"/>
    <n v="4"/>
    <x v="11"/>
    <n v="0"/>
    <x v="0"/>
    <n v="14.51"/>
  </r>
  <r>
    <s v="T1931"/>
    <x v="3"/>
    <d v="2026-09-30T00:00:00"/>
    <d v="1899-12-30T17:30:00"/>
    <n v="46"/>
    <n v="45"/>
    <n v="3"/>
    <s v="Corridor North"/>
    <n v="18.5"/>
    <n v="22"/>
    <x v="3"/>
    <x v="6"/>
    <n v="0"/>
    <n v="0"/>
    <s v=""/>
    <n v="1"/>
    <n v="1"/>
    <n v="1"/>
    <x v="1"/>
    <n v="1"/>
    <x v="0"/>
    <n v="2.4900000000000002"/>
  </r>
  <r>
    <s v="T1932"/>
    <x v="3"/>
    <d v="2026-09-07T00:00:00"/>
    <d v="1899-12-30T21:15:00"/>
    <n v="136"/>
    <n v="144"/>
    <n v="6"/>
    <s v="Corridor North"/>
    <n v="18.5"/>
    <n v="22"/>
    <x v="3"/>
    <x v="5"/>
    <n v="0"/>
    <n v="0"/>
    <s v=""/>
    <n v="1"/>
    <n v="1"/>
    <n v="1"/>
    <x v="10"/>
    <n v="0"/>
    <x v="0"/>
    <n v="7.35"/>
  </r>
  <r>
    <s v="T1933"/>
    <x v="1"/>
    <d v="2026-09-10T00:00:00"/>
    <d v="1899-12-30T20:45:00"/>
    <n v="71"/>
    <n v="77"/>
    <n v="5"/>
    <s v="Airport Express"/>
    <n v="32"/>
    <n v="14"/>
    <x v="1"/>
    <x v="4"/>
    <n v="0"/>
    <n v="0"/>
    <s v=""/>
    <n v="1"/>
    <n v="1"/>
    <n v="0"/>
    <x v="15"/>
    <n v="0"/>
    <x v="0"/>
    <n v="2.2200000000000002"/>
  </r>
  <r>
    <s v="T1934"/>
    <x v="3"/>
    <d v="2026-09-09T00:00:00"/>
    <d v="1899-12-30T16:30:00"/>
    <n v="48"/>
    <n v="51"/>
    <n v="4"/>
    <s v="Corridor North"/>
    <n v="18.5"/>
    <n v="22"/>
    <x v="3"/>
    <x v="6"/>
    <n v="0"/>
    <n v="0"/>
    <s v=""/>
    <n v="1"/>
    <n v="1"/>
    <n v="2"/>
    <x v="2"/>
    <n v="0"/>
    <x v="0"/>
    <n v="2.59"/>
  </r>
  <r>
    <s v="T1935"/>
    <x v="2"/>
    <d v="2026-09-02T00:00:00"/>
    <d v="1899-12-30T09:00:00"/>
    <n v="56"/>
    <n v="51"/>
    <n v="3"/>
    <s v="Downtown Loop"/>
    <n v="12.2"/>
    <n v="18"/>
    <x v="2"/>
    <x v="6"/>
    <n v="0"/>
    <n v="0"/>
    <s v=""/>
    <n v="1"/>
    <n v="1"/>
    <n v="9"/>
    <x v="4"/>
    <n v="1"/>
    <x v="0"/>
    <n v="4.59"/>
  </r>
  <r>
    <s v="T1936"/>
    <x v="4"/>
    <d v="2026-09-28T00:00:00"/>
    <d v="1899-12-30T05:45:00"/>
    <n v="148"/>
    <n v="145"/>
    <n v="5"/>
    <s v="Suburban Link"/>
    <n v="24.8"/>
    <n v="28"/>
    <x v="4"/>
    <x v="5"/>
    <n v="0"/>
    <n v="0"/>
    <s v=""/>
    <n v="1"/>
    <n v="1"/>
    <n v="14"/>
    <x v="16"/>
    <n v="0"/>
    <x v="0"/>
    <n v="5.97"/>
  </r>
  <r>
    <s v="T1937"/>
    <x v="3"/>
    <d v="2026-09-28T00:00:00"/>
    <d v="1899-12-30T14:30:00"/>
    <n v="53"/>
    <n v="48"/>
    <n v="3"/>
    <s v="Corridor North"/>
    <n v="18.5"/>
    <n v="22"/>
    <x v="3"/>
    <x v="5"/>
    <n v="0"/>
    <n v="0"/>
    <s v=""/>
    <n v="1"/>
    <n v="1"/>
    <n v="10"/>
    <x v="7"/>
    <n v="0"/>
    <x v="0"/>
    <n v="2.86"/>
  </r>
  <r>
    <s v="T1938"/>
    <x v="4"/>
    <d v="2026-09-15T00:00:00"/>
    <d v="1899-12-30T15:00:00"/>
    <n v="106"/>
    <n v="98"/>
    <n v="5"/>
    <s v="Suburban Link"/>
    <n v="24.8"/>
    <n v="28"/>
    <x v="4"/>
    <x v="0"/>
    <n v="0"/>
    <n v="0"/>
    <s v=""/>
    <n v="1"/>
    <n v="1"/>
    <n v="12"/>
    <x v="17"/>
    <n v="0"/>
    <x v="0"/>
    <n v="4.2699999999999996"/>
  </r>
  <r>
    <s v="T1939"/>
    <x v="3"/>
    <d v="2026-09-30T00:00:00"/>
    <d v="1899-12-30T09:00:00"/>
    <n v="110"/>
    <n v="112"/>
    <n v="4"/>
    <s v="Corridor North"/>
    <n v="18.5"/>
    <n v="22"/>
    <x v="3"/>
    <x v="6"/>
    <n v="0"/>
    <n v="0"/>
    <s v=""/>
    <n v="1"/>
    <n v="1"/>
    <n v="10"/>
    <x v="4"/>
    <n v="1"/>
    <x v="0"/>
    <n v="5.95"/>
  </r>
  <r>
    <s v="T1940"/>
    <x v="1"/>
    <d v="2026-09-05T00:00:00"/>
    <d v="1899-12-30T16:30:00"/>
    <n v="79"/>
    <n v="80"/>
    <n v="4"/>
    <s v="Airport Express"/>
    <n v="32"/>
    <n v="14"/>
    <x v="1"/>
    <x v="1"/>
    <n v="1"/>
    <n v="1"/>
    <s v=""/>
    <n v="1"/>
    <n v="1"/>
    <n v="2"/>
    <x v="2"/>
    <n v="0"/>
    <x v="0"/>
    <n v="2.4700000000000002"/>
  </r>
  <r>
    <s v="T1941"/>
    <x v="2"/>
    <d v="2026-09-29T00:00:00"/>
    <d v="1899-12-30T21:45:00"/>
    <n v="86"/>
    <n v="81"/>
    <n v="4"/>
    <s v="Downtown Loop"/>
    <n v="12.2"/>
    <n v="18"/>
    <x v="2"/>
    <x v="0"/>
    <n v="0"/>
    <n v="0"/>
    <s v=""/>
    <n v="1"/>
    <n v="1"/>
    <n v="4"/>
    <x v="10"/>
    <n v="0"/>
    <x v="0"/>
    <n v="7.05"/>
  </r>
  <r>
    <s v="T1942"/>
    <x v="2"/>
    <d v="2026-09-22T00:00:00"/>
    <d v="1899-12-30T19:00:00"/>
    <n v="95"/>
    <n v="87"/>
    <n v="3"/>
    <s v="Downtown Loop"/>
    <n v="12.2"/>
    <n v="18"/>
    <x v="2"/>
    <x v="0"/>
    <n v="0"/>
    <n v="0"/>
    <s v=""/>
    <n v="1"/>
    <n v="1"/>
    <n v="3"/>
    <x v="8"/>
    <n v="1"/>
    <x v="0"/>
    <n v="7.79"/>
  </r>
  <r>
    <s v="T1943"/>
    <x v="1"/>
    <d v="2026-09-04T00:00:00"/>
    <d v="1899-12-30T13:00:00"/>
    <n v="123"/>
    <n v="114"/>
    <n v="6"/>
    <s v="Airport Express"/>
    <n v="32"/>
    <n v="14"/>
    <x v="1"/>
    <x v="3"/>
    <n v="0"/>
    <n v="0"/>
    <s v=""/>
    <n v="1"/>
    <n v="1"/>
    <n v="8"/>
    <x v="5"/>
    <n v="0"/>
    <x v="0"/>
    <n v="3.84"/>
  </r>
  <r>
    <s v="T1944"/>
    <x v="4"/>
    <d v="2026-09-20T00:00:00"/>
    <d v="1899-12-30T16:00:00"/>
    <n v="123"/>
    <n v="125"/>
    <n v="4"/>
    <s v="Suburban Link"/>
    <n v="24.8"/>
    <n v="28"/>
    <x v="4"/>
    <x v="2"/>
    <n v="1"/>
    <n v="0"/>
    <s v="Marathon"/>
    <n v="1"/>
    <n v="1"/>
    <n v="0"/>
    <x v="2"/>
    <n v="0"/>
    <x v="1"/>
    <n v="4.96"/>
  </r>
  <r>
    <s v="T1945"/>
    <x v="3"/>
    <d v="2026-09-04T00:00:00"/>
    <d v="1899-12-30T14:00:00"/>
    <n v="61"/>
    <n v="62"/>
    <n v="4"/>
    <s v="Corridor North"/>
    <n v="18.5"/>
    <n v="22"/>
    <x v="3"/>
    <x v="3"/>
    <n v="0"/>
    <n v="0"/>
    <s v=""/>
    <n v="1"/>
    <n v="1"/>
    <n v="12"/>
    <x v="7"/>
    <n v="0"/>
    <x v="0"/>
    <n v="3.3"/>
  </r>
  <r>
    <s v="T1946"/>
    <x v="3"/>
    <d v="2026-09-18T00:00:00"/>
    <d v="1899-12-30T09:15:00"/>
    <n v="50"/>
    <n v="41"/>
    <n v="4"/>
    <s v="Corridor North"/>
    <n v="18.5"/>
    <n v="22"/>
    <x v="3"/>
    <x v="3"/>
    <n v="0"/>
    <n v="0"/>
    <s v=""/>
    <n v="1"/>
    <n v="1"/>
    <n v="4"/>
    <x v="4"/>
    <n v="1"/>
    <x v="0"/>
    <n v="2.7"/>
  </r>
  <r>
    <s v="T1947"/>
    <x v="3"/>
    <d v="2026-09-04T00:00:00"/>
    <d v="1899-12-30T20:30:00"/>
    <n v="107"/>
    <n v="101"/>
    <n v="5"/>
    <s v="Corridor North"/>
    <n v="18.5"/>
    <n v="22"/>
    <x v="3"/>
    <x v="3"/>
    <n v="0"/>
    <n v="0"/>
    <s v=""/>
    <n v="1"/>
    <n v="1"/>
    <n v="3"/>
    <x v="15"/>
    <n v="0"/>
    <x v="0"/>
    <n v="5.78"/>
  </r>
  <r>
    <s v="T1948"/>
    <x v="1"/>
    <d v="2026-09-27T00:00:00"/>
    <d v="1899-12-30T13:30:00"/>
    <n v="57"/>
    <n v="61"/>
    <n v="5"/>
    <s v="Airport Express"/>
    <n v="32"/>
    <n v="14"/>
    <x v="1"/>
    <x v="2"/>
    <n v="1"/>
    <n v="0"/>
    <s v="Music Fest"/>
    <n v="1"/>
    <n v="1"/>
    <n v="0"/>
    <x v="5"/>
    <n v="0"/>
    <x v="1"/>
    <n v="1.78"/>
  </r>
  <r>
    <s v="T1949"/>
    <x v="0"/>
    <d v="2026-09-17T00:00:00"/>
    <d v="1899-12-30T19:45:00"/>
    <n v="138"/>
    <n v="134"/>
    <n v="4"/>
    <s v="Tech Park Shuttle"/>
    <n v="15"/>
    <n v="16"/>
    <x v="0"/>
    <x v="4"/>
    <n v="0"/>
    <n v="0"/>
    <s v=""/>
    <n v="1"/>
    <n v="1"/>
    <n v="1"/>
    <x v="8"/>
    <n v="1"/>
    <x v="0"/>
    <n v="9.1999999999999993"/>
  </r>
  <r>
    <s v="T1950"/>
    <x v="0"/>
    <d v="2026-09-12T00:00:00"/>
    <d v="1899-12-30T22:45:00"/>
    <n v="81"/>
    <n v="85"/>
    <n v="7"/>
    <s v="Tech Park Shuttle"/>
    <n v="15"/>
    <n v="16"/>
    <x v="0"/>
    <x v="1"/>
    <n v="1"/>
    <n v="0"/>
    <s v="Tech Expo"/>
    <n v="1"/>
    <n v="0"/>
    <n v="6"/>
    <x v="11"/>
    <n v="0"/>
    <x v="1"/>
    <n v="5.4"/>
  </r>
  <r>
    <s v="T1951"/>
    <x v="3"/>
    <d v="2026-09-22T00:00:00"/>
    <d v="1899-12-30T18:30:00"/>
    <n v="105"/>
    <n v="101"/>
    <n v="5"/>
    <s v="Corridor North"/>
    <n v="18.5"/>
    <n v="22"/>
    <x v="3"/>
    <x v="0"/>
    <n v="0"/>
    <n v="0"/>
    <s v=""/>
    <n v="1"/>
    <n v="1"/>
    <n v="4"/>
    <x v="0"/>
    <n v="1"/>
    <x v="0"/>
    <n v="5.68"/>
  </r>
  <r>
    <s v="T1952"/>
    <x v="3"/>
    <d v="2026-09-17T00:00:00"/>
    <d v="1899-12-30T16:00:00"/>
    <n v="188"/>
    <n v="188"/>
    <n v="6"/>
    <s v="Corridor North"/>
    <n v="18.5"/>
    <n v="22"/>
    <x v="3"/>
    <x v="4"/>
    <n v="0"/>
    <n v="0"/>
    <s v=""/>
    <n v="1"/>
    <n v="1"/>
    <n v="1"/>
    <x v="2"/>
    <n v="0"/>
    <x v="0"/>
    <n v="10.16"/>
  </r>
  <r>
    <s v="T1953"/>
    <x v="3"/>
    <d v="2026-09-10T00:00:00"/>
    <d v="1899-12-30T11:00:00"/>
    <n v="52"/>
    <n v="52"/>
    <n v="5"/>
    <s v="Corridor North"/>
    <n v="18.5"/>
    <n v="22"/>
    <x v="3"/>
    <x v="4"/>
    <n v="0"/>
    <n v="0"/>
    <s v=""/>
    <n v="1"/>
    <n v="1"/>
    <n v="5"/>
    <x v="9"/>
    <n v="0"/>
    <x v="0"/>
    <n v="2.81"/>
  </r>
  <r>
    <s v="T1954"/>
    <x v="4"/>
    <d v="2026-09-22T00:00:00"/>
    <d v="1899-12-30T17:15:00"/>
    <n v="100"/>
    <n v="106"/>
    <n v="5"/>
    <s v="Suburban Link"/>
    <n v="24.8"/>
    <n v="28"/>
    <x v="4"/>
    <x v="0"/>
    <n v="0"/>
    <n v="0"/>
    <s v=""/>
    <n v="1"/>
    <n v="1"/>
    <n v="2"/>
    <x v="1"/>
    <n v="1"/>
    <x v="0"/>
    <n v="4.03"/>
  </r>
  <r>
    <s v="T1955"/>
    <x v="4"/>
    <d v="2026-09-01T00:00:00"/>
    <d v="1899-12-30T09:00:00"/>
    <n v="51"/>
    <n v="39"/>
    <n v="3"/>
    <s v="Suburban Link"/>
    <n v="24.8"/>
    <n v="28"/>
    <x v="4"/>
    <x v="0"/>
    <n v="0"/>
    <n v="0"/>
    <s v=""/>
    <n v="1"/>
    <n v="1"/>
    <n v="0"/>
    <x v="4"/>
    <n v="1"/>
    <x v="0"/>
    <n v="2.06"/>
  </r>
  <r>
    <s v="T1956"/>
    <x v="1"/>
    <d v="2026-09-22T00:00:00"/>
    <d v="1899-12-30T08:30:00"/>
    <n v="144"/>
    <n v="137"/>
    <n v="6"/>
    <s v="Airport Express"/>
    <n v="32"/>
    <n v="14"/>
    <x v="1"/>
    <x v="0"/>
    <n v="0"/>
    <n v="0"/>
    <s v=""/>
    <n v="1"/>
    <n v="1"/>
    <n v="5"/>
    <x v="13"/>
    <n v="1"/>
    <x v="0"/>
    <n v="4.5"/>
  </r>
  <r>
    <s v="T1957"/>
    <x v="1"/>
    <d v="2026-09-26T00:00:00"/>
    <d v="1899-12-30T06:45:00"/>
    <n v="107"/>
    <n v="100"/>
    <n v="5"/>
    <s v="Airport Express"/>
    <n v="32"/>
    <n v="14"/>
    <x v="1"/>
    <x v="1"/>
    <n v="1"/>
    <n v="0"/>
    <s v=""/>
    <n v="1"/>
    <n v="1"/>
    <n v="12"/>
    <x v="12"/>
    <n v="0"/>
    <x v="0"/>
    <n v="3.34"/>
  </r>
  <r>
    <s v="T1958"/>
    <x v="3"/>
    <d v="2026-09-24T00:00:00"/>
    <d v="1899-12-30T13:00:00"/>
    <n v="75"/>
    <n v="78"/>
    <n v="3"/>
    <s v="Corridor North"/>
    <n v="18.5"/>
    <n v="22"/>
    <x v="3"/>
    <x v="4"/>
    <n v="0"/>
    <n v="0"/>
    <s v=""/>
    <n v="1"/>
    <n v="1"/>
    <n v="3"/>
    <x v="5"/>
    <n v="0"/>
    <x v="0"/>
    <n v="4.05"/>
  </r>
  <r>
    <s v="T1959"/>
    <x v="1"/>
    <d v="2026-09-27T00:00:00"/>
    <d v="1899-12-30T10:30:00"/>
    <n v="58"/>
    <n v="64"/>
    <n v="6"/>
    <s v="Airport Express"/>
    <n v="32"/>
    <n v="14"/>
    <x v="1"/>
    <x v="2"/>
    <n v="1"/>
    <n v="0"/>
    <s v="Music Fest"/>
    <n v="1"/>
    <n v="1"/>
    <n v="1"/>
    <x v="3"/>
    <n v="1"/>
    <x v="1"/>
    <n v="1.81"/>
  </r>
  <r>
    <s v="T1960"/>
    <x v="3"/>
    <d v="2026-09-18T00:00:00"/>
    <d v="1899-12-30T05:45:00"/>
    <n v="78"/>
    <n v="78"/>
    <n v="4"/>
    <s v="Corridor North"/>
    <n v="18.5"/>
    <n v="22"/>
    <x v="3"/>
    <x v="3"/>
    <n v="0"/>
    <n v="0"/>
    <s v=""/>
    <n v="1"/>
    <n v="1"/>
    <n v="0"/>
    <x v="16"/>
    <n v="0"/>
    <x v="0"/>
    <n v="4.22"/>
  </r>
  <r>
    <s v="T1961"/>
    <x v="4"/>
    <d v="2026-09-18T00:00:00"/>
    <d v="1899-12-30T17:30:00"/>
    <n v="86"/>
    <n v="82"/>
    <n v="4"/>
    <s v="Suburban Link"/>
    <n v="24.8"/>
    <n v="28"/>
    <x v="4"/>
    <x v="3"/>
    <n v="0"/>
    <n v="0"/>
    <s v=""/>
    <n v="1"/>
    <n v="1"/>
    <n v="4"/>
    <x v="1"/>
    <n v="1"/>
    <x v="0"/>
    <n v="3.47"/>
  </r>
  <r>
    <s v="T1962"/>
    <x v="1"/>
    <d v="2026-09-14T00:00:00"/>
    <d v="1899-12-30T17:00:00"/>
    <n v="44"/>
    <n v="45"/>
    <n v="4"/>
    <s v="Airport Express"/>
    <n v="32"/>
    <n v="14"/>
    <x v="1"/>
    <x v="5"/>
    <n v="0"/>
    <n v="0"/>
    <s v=""/>
    <n v="1"/>
    <n v="1"/>
    <n v="1"/>
    <x v="1"/>
    <n v="1"/>
    <x v="0"/>
    <n v="1.38"/>
  </r>
  <r>
    <s v="T1963"/>
    <x v="2"/>
    <d v="2026-09-15T00:00:00"/>
    <d v="1899-12-30T06:00:00"/>
    <n v="103"/>
    <n v="106"/>
    <n v="3"/>
    <s v="Downtown Loop"/>
    <n v="12.2"/>
    <n v="18"/>
    <x v="2"/>
    <x v="0"/>
    <n v="0"/>
    <n v="0"/>
    <s v=""/>
    <n v="1"/>
    <n v="1"/>
    <n v="3"/>
    <x v="12"/>
    <n v="0"/>
    <x v="0"/>
    <n v="8.44"/>
  </r>
  <r>
    <s v="T1964"/>
    <x v="4"/>
    <d v="2026-09-29T00:00:00"/>
    <d v="1899-12-30T12:30:00"/>
    <n v="143"/>
    <n v="141"/>
    <n v="4"/>
    <s v="Suburban Link"/>
    <n v="24.8"/>
    <n v="28"/>
    <x v="4"/>
    <x v="0"/>
    <n v="0"/>
    <n v="0"/>
    <s v=""/>
    <n v="1"/>
    <n v="1"/>
    <n v="1"/>
    <x v="14"/>
    <n v="0"/>
    <x v="0"/>
    <n v="5.77"/>
  </r>
  <r>
    <s v="T1965"/>
    <x v="4"/>
    <d v="2026-09-12T00:00:00"/>
    <d v="1899-12-30T08:15:00"/>
    <n v="159"/>
    <n v="163"/>
    <n v="7"/>
    <s v="Suburban Link"/>
    <n v="24.8"/>
    <n v="28"/>
    <x v="4"/>
    <x v="1"/>
    <n v="1"/>
    <n v="0"/>
    <s v="Tech Expo"/>
    <n v="1"/>
    <n v="1"/>
    <n v="4"/>
    <x v="13"/>
    <n v="1"/>
    <x v="1"/>
    <n v="6.41"/>
  </r>
  <r>
    <s v="T1966"/>
    <x v="1"/>
    <d v="2026-09-04T00:00:00"/>
    <d v="1899-12-30T07:45:00"/>
    <n v="115"/>
    <n v="104"/>
    <n v="5"/>
    <s v="Airport Express"/>
    <n v="32"/>
    <n v="14"/>
    <x v="1"/>
    <x v="3"/>
    <n v="0"/>
    <n v="0"/>
    <s v=""/>
    <n v="1"/>
    <n v="1"/>
    <n v="2"/>
    <x v="6"/>
    <n v="0"/>
    <x v="0"/>
    <n v="3.59"/>
  </r>
  <r>
    <s v="T1967"/>
    <x v="3"/>
    <d v="2026-09-27T00:00:00"/>
    <d v="1899-12-30T10:45:00"/>
    <n v="85"/>
    <n v="77"/>
    <n v="6"/>
    <s v="Corridor North"/>
    <n v="18.5"/>
    <n v="22"/>
    <x v="3"/>
    <x v="2"/>
    <n v="1"/>
    <n v="0"/>
    <s v="Music Fest"/>
    <n v="1"/>
    <n v="1"/>
    <n v="7"/>
    <x v="3"/>
    <n v="1"/>
    <x v="1"/>
    <n v="4.59"/>
  </r>
  <r>
    <s v="T1968"/>
    <x v="3"/>
    <d v="2026-09-03T00:00:00"/>
    <d v="1899-12-30T16:00:00"/>
    <n v="113"/>
    <n v="110"/>
    <n v="4"/>
    <s v="Corridor North"/>
    <n v="18.5"/>
    <n v="22"/>
    <x v="3"/>
    <x v="4"/>
    <n v="0"/>
    <n v="0"/>
    <s v=""/>
    <n v="1"/>
    <n v="1"/>
    <n v="6"/>
    <x v="2"/>
    <n v="0"/>
    <x v="0"/>
    <n v="6.11"/>
  </r>
  <r>
    <s v="T1969"/>
    <x v="0"/>
    <d v="2026-09-20T00:00:00"/>
    <d v="1899-12-30T12:15:00"/>
    <n v="48"/>
    <n v="44"/>
    <n v="3"/>
    <s v="Tech Park Shuttle"/>
    <n v="15"/>
    <n v="16"/>
    <x v="0"/>
    <x v="2"/>
    <n v="1"/>
    <n v="0"/>
    <s v="Marathon"/>
    <n v="1"/>
    <n v="1"/>
    <n v="7"/>
    <x v="14"/>
    <n v="0"/>
    <x v="1"/>
    <n v="3.2"/>
  </r>
  <r>
    <s v="T1970"/>
    <x v="0"/>
    <d v="2026-09-29T00:00:00"/>
    <d v="1899-12-30T05:45:00"/>
    <n v="97"/>
    <n v="89"/>
    <n v="3"/>
    <s v="Tech Park Shuttle"/>
    <n v="15"/>
    <n v="16"/>
    <x v="0"/>
    <x v="0"/>
    <n v="0"/>
    <n v="0"/>
    <s v=""/>
    <n v="1"/>
    <n v="1"/>
    <n v="4"/>
    <x v="16"/>
    <n v="0"/>
    <x v="0"/>
    <n v="6.47"/>
  </r>
  <r>
    <s v="T1971"/>
    <x v="0"/>
    <d v="2026-09-12T00:00:00"/>
    <d v="1899-12-30T15:30:00"/>
    <n v="112"/>
    <n v="100"/>
    <n v="4"/>
    <s v="Tech Park Shuttle"/>
    <n v="15"/>
    <n v="16"/>
    <x v="0"/>
    <x v="1"/>
    <n v="1"/>
    <n v="0"/>
    <s v="Tech Expo"/>
    <n v="1"/>
    <n v="1"/>
    <n v="1"/>
    <x v="17"/>
    <n v="0"/>
    <x v="1"/>
    <n v="7.47"/>
  </r>
  <r>
    <s v="T1972"/>
    <x v="0"/>
    <d v="2026-09-07T00:00:00"/>
    <d v="1899-12-30T17:00:00"/>
    <n v="38"/>
    <n v="33"/>
    <n v="3"/>
    <s v="Tech Park Shuttle"/>
    <n v="15"/>
    <n v="16"/>
    <x v="0"/>
    <x v="5"/>
    <n v="0"/>
    <n v="0"/>
    <s v=""/>
    <n v="1"/>
    <n v="1"/>
    <n v="0"/>
    <x v="1"/>
    <n v="1"/>
    <x v="0"/>
    <n v="2.5299999999999998"/>
  </r>
  <r>
    <s v="T1973"/>
    <x v="2"/>
    <d v="2026-09-29T00:00:00"/>
    <d v="1899-12-30T21:15:00"/>
    <n v="152"/>
    <n v="146"/>
    <n v="5"/>
    <s v="Downtown Loop"/>
    <n v="12.2"/>
    <n v="18"/>
    <x v="2"/>
    <x v="0"/>
    <n v="0"/>
    <n v="0"/>
    <s v=""/>
    <n v="1"/>
    <n v="1"/>
    <n v="2"/>
    <x v="10"/>
    <n v="0"/>
    <x v="0"/>
    <n v="12.46"/>
  </r>
  <r>
    <s v="T1974"/>
    <x v="2"/>
    <d v="2026-09-11T00:00:00"/>
    <d v="1899-12-30T14:00:00"/>
    <n v="51"/>
    <n v="53"/>
    <n v="4"/>
    <s v="Downtown Loop"/>
    <n v="12.2"/>
    <n v="18"/>
    <x v="2"/>
    <x v="3"/>
    <n v="0"/>
    <n v="0"/>
    <s v=""/>
    <n v="1"/>
    <n v="1"/>
    <n v="4"/>
    <x v="7"/>
    <n v="0"/>
    <x v="0"/>
    <n v="4.18"/>
  </r>
  <r>
    <s v="T1975"/>
    <x v="4"/>
    <d v="2026-09-01T00:00:00"/>
    <d v="1899-12-30T16:30:00"/>
    <n v="161"/>
    <n v="161"/>
    <n v="5"/>
    <s v="Suburban Link"/>
    <n v="24.8"/>
    <n v="28"/>
    <x v="4"/>
    <x v="0"/>
    <n v="0"/>
    <n v="0"/>
    <s v=""/>
    <n v="1"/>
    <n v="1"/>
    <n v="4"/>
    <x v="2"/>
    <n v="0"/>
    <x v="0"/>
    <n v="6.49"/>
  </r>
  <r>
    <s v="T1976"/>
    <x v="3"/>
    <d v="2026-09-06T00:00:00"/>
    <d v="1899-12-30T14:15:00"/>
    <n v="91"/>
    <n v="88"/>
    <n v="4"/>
    <s v="Corridor North"/>
    <n v="18.5"/>
    <n v="22"/>
    <x v="3"/>
    <x v="2"/>
    <n v="1"/>
    <n v="0"/>
    <s v=""/>
    <n v="1"/>
    <n v="1"/>
    <n v="0"/>
    <x v="7"/>
    <n v="0"/>
    <x v="0"/>
    <n v="4.92"/>
  </r>
  <r>
    <s v="T1977"/>
    <x v="1"/>
    <d v="2026-09-15T00:00:00"/>
    <d v="1899-12-30T17:00:00"/>
    <n v="177"/>
    <n v="173"/>
    <n v="6"/>
    <s v="Airport Express"/>
    <n v="32"/>
    <n v="14"/>
    <x v="1"/>
    <x v="0"/>
    <n v="0"/>
    <n v="0"/>
    <s v=""/>
    <n v="1"/>
    <n v="1"/>
    <n v="7"/>
    <x v="1"/>
    <n v="1"/>
    <x v="0"/>
    <n v="5.53"/>
  </r>
  <r>
    <s v="T1978"/>
    <x v="1"/>
    <d v="2026-09-15T00:00:00"/>
    <d v="1899-12-30T10:45:00"/>
    <n v="89"/>
    <n v="81"/>
    <n v="4"/>
    <s v="Airport Express"/>
    <n v="32"/>
    <n v="14"/>
    <x v="1"/>
    <x v="0"/>
    <n v="0"/>
    <n v="0"/>
    <s v=""/>
    <n v="1"/>
    <n v="1"/>
    <n v="1"/>
    <x v="3"/>
    <n v="1"/>
    <x v="0"/>
    <n v="2.78"/>
  </r>
  <r>
    <s v="T1979"/>
    <x v="0"/>
    <d v="2026-09-19T00:00:00"/>
    <d v="1899-12-30T06:15:00"/>
    <n v="100"/>
    <n v="98"/>
    <n v="4"/>
    <s v="Tech Park Shuttle"/>
    <n v="15"/>
    <n v="16"/>
    <x v="0"/>
    <x v="1"/>
    <n v="1"/>
    <n v="1"/>
    <s v=""/>
    <n v="1"/>
    <n v="1"/>
    <n v="9"/>
    <x v="12"/>
    <n v="0"/>
    <x v="0"/>
    <n v="6.67"/>
  </r>
  <r>
    <s v="T1980"/>
    <x v="4"/>
    <d v="2026-09-11T00:00:00"/>
    <d v="1899-12-30T21:45:00"/>
    <n v="47"/>
    <n v="49"/>
    <n v="3"/>
    <s v="Suburban Link"/>
    <n v="24.8"/>
    <n v="28"/>
    <x v="4"/>
    <x v="3"/>
    <n v="0"/>
    <n v="0"/>
    <s v=""/>
    <n v="1"/>
    <n v="1"/>
    <n v="4"/>
    <x v="10"/>
    <n v="0"/>
    <x v="0"/>
    <n v="1.9"/>
  </r>
  <r>
    <s v="T1981"/>
    <x v="1"/>
    <d v="2026-09-26T00:00:00"/>
    <d v="1899-12-30T18:15:00"/>
    <n v="89"/>
    <n v="87"/>
    <n v="5"/>
    <s v="Airport Express"/>
    <n v="32"/>
    <n v="14"/>
    <x v="1"/>
    <x v="1"/>
    <n v="1"/>
    <n v="0"/>
    <s v=""/>
    <n v="1"/>
    <n v="1"/>
    <n v="1"/>
    <x v="0"/>
    <n v="1"/>
    <x v="0"/>
    <n v="2.78"/>
  </r>
  <r>
    <s v="T1982"/>
    <x v="3"/>
    <d v="2026-09-23T00:00:00"/>
    <d v="1899-12-30T07:00:00"/>
    <n v="136"/>
    <n v="130"/>
    <n v="5"/>
    <s v="Corridor North"/>
    <n v="18.5"/>
    <n v="22"/>
    <x v="3"/>
    <x v="6"/>
    <n v="0"/>
    <n v="0"/>
    <s v=""/>
    <n v="1"/>
    <n v="1"/>
    <n v="4"/>
    <x v="6"/>
    <n v="0"/>
    <x v="0"/>
    <n v="7.35"/>
  </r>
  <r>
    <s v="T1983"/>
    <x v="4"/>
    <d v="2026-09-26T00:00:00"/>
    <d v="1899-12-30T07:30:00"/>
    <n v="96"/>
    <n v="96"/>
    <n v="5"/>
    <s v="Suburban Link"/>
    <n v="24.8"/>
    <n v="28"/>
    <x v="4"/>
    <x v="1"/>
    <n v="1"/>
    <n v="0"/>
    <s v=""/>
    <n v="1"/>
    <n v="1"/>
    <n v="4"/>
    <x v="6"/>
    <n v="0"/>
    <x v="0"/>
    <n v="3.87"/>
  </r>
  <r>
    <s v="T1984"/>
    <x v="3"/>
    <d v="2026-09-02T00:00:00"/>
    <d v="1899-12-30T10:00:00"/>
    <n v="76"/>
    <n v="78"/>
    <n v="3"/>
    <s v="Corridor North"/>
    <n v="18.5"/>
    <n v="22"/>
    <x v="3"/>
    <x v="6"/>
    <n v="0"/>
    <n v="0"/>
    <s v=""/>
    <n v="1"/>
    <n v="1"/>
    <n v="20"/>
    <x v="3"/>
    <n v="1"/>
    <x v="0"/>
    <n v="4.1100000000000003"/>
  </r>
  <r>
    <s v="T1985"/>
    <x v="3"/>
    <d v="2026-09-14T00:00:00"/>
    <d v="1899-12-30T16:15:00"/>
    <n v="64"/>
    <n v="66"/>
    <n v="3"/>
    <s v="Corridor North"/>
    <n v="18.5"/>
    <n v="22"/>
    <x v="3"/>
    <x v="5"/>
    <n v="0"/>
    <n v="0"/>
    <s v=""/>
    <n v="1"/>
    <n v="1"/>
    <n v="2"/>
    <x v="2"/>
    <n v="0"/>
    <x v="0"/>
    <n v="3.46"/>
  </r>
  <r>
    <s v="T1986"/>
    <x v="3"/>
    <d v="2026-09-02T00:00:00"/>
    <d v="1899-12-30T15:00:00"/>
    <n v="145"/>
    <n v="132"/>
    <n v="4"/>
    <s v="Corridor North"/>
    <n v="18.5"/>
    <n v="22"/>
    <x v="3"/>
    <x v="6"/>
    <n v="0"/>
    <n v="0"/>
    <s v=""/>
    <n v="1"/>
    <n v="1"/>
    <n v="5"/>
    <x v="17"/>
    <n v="0"/>
    <x v="0"/>
    <n v="7.84"/>
  </r>
  <r>
    <s v="T1987"/>
    <x v="4"/>
    <d v="2026-09-29T00:00:00"/>
    <d v="1899-12-30T08:15:00"/>
    <n v="120"/>
    <n v="119"/>
    <n v="5"/>
    <s v="Suburban Link"/>
    <n v="24.8"/>
    <n v="28"/>
    <x v="4"/>
    <x v="0"/>
    <n v="0"/>
    <n v="0"/>
    <s v=""/>
    <n v="1"/>
    <n v="1"/>
    <n v="4"/>
    <x v="13"/>
    <n v="1"/>
    <x v="0"/>
    <n v="4.84"/>
  </r>
  <r>
    <s v="T1988"/>
    <x v="0"/>
    <d v="2026-09-04T00:00:00"/>
    <d v="1899-12-30T10:00:00"/>
    <n v="67"/>
    <n v="63"/>
    <n v="5"/>
    <s v="Tech Park Shuttle"/>
    <n v="15"/>
    <n v="16"/>
    <x v="0"/>
    <x v="3"/>
    <n v="0"/>
    <n v="0"/>
    <s v=""/>
    <n v="1"/>
    <n v="1"/>
    <n v="4"/>
    <x v="3"/>
    <n v="1"/>
    <x v="0"/>
    <n v="4.47"/>
  </r>
  <r>
    <s v="T1989"/>
    <x v="1"/>
    <d v="2026-09-17T00:00:00"/>
    <d v="1899-12-30T20:30:00"/>
    <n v="57"/>
    <n v="57"/>
    <n v="3"/>
    <s v="Airport Express"/>
    <n v="32"/>
    <n v="14"/>
    <x v="1"/>
    <x v="4"/>
    <n v="0"/>
    <n v="0"/>
    <s v=""/>
    <n v="1"/>
    <n v="1"/>
    <n v="1"/>
    <x v="15"/>
    <n v="0"/>
    <x v="0"/>
    <n v="1.78"/>
  </r>
  <r>
    <s v="T1990"/>
    <x v="1"/>
    <d v="2026-09-03T00:00:00"/>
    <d v="1899-12-30T21:45:00"/>
    <n v="130"/>
    <n v="132"/>
    <n v="5"/>
    <s v="Airport Express"/>
    <n v="32"/>
    <n v="14"/>
    <x v="1"/>
    <x v="4"/>
    <n v="0"/>
    <n v="0"/>
    <s v=""/>
    <n v="1"/>
    <n v="1"/>
    <n v="4"/>
    <x v="10"/>
    <n v="0"/>
    <x v="0"/>
    <n v="4.0599999999999996"/>
  </r>
  <r>
    <s v="T1991"/>
    <x v="0"/>
    <d v="2026-09-13T00:00:00"/>
    <d v="1899-12-30T16:30:00"/>
    <n v="58"/>
    <n v="52"/>
    <n v="3"/>
    <s v="Tech Park Shuttle"/>
    <n v="15"/>
    <n v="16"/>
    <x v="0"/>
    <x v="2"/>
    <n v="1"/>
    <n v="0"/>
    <s v=""/>
    <n v="1"/>
    <n v="1"/>
    <n v="1"/>
    <x v="2"/>
    <n v="0"/>
    <x v="0"/>
    <n v="3.87"/>
  </r>
  <r>
    <s v="T1992"/>
    <x v="3"/>
    <d v="2026-09-09T00:00:00"/>
    <d v="1899-12-30T14:30:00"/>
    <n v="143"/>
    <n v="136"/>
    <n v="5"/>
    <s v="Corridor North"/>
    <n v="18.5"/>
    <n v="22"/>
    <x v="3"/>
    <x v="6"/>
    <n v="0"/>
    <n v="0"/>
    <s v=""/>
    <n v="1"/>
    <n v="1"/>
    <n v="6"/>
    <x v="7"/>
    <n v="0"/>
    <x v="0"/>
    <n v="7.73"/>
  </r>
  <r>
    <s v="T1993"/>
    <x v="1"/>
    <d v="2026-09-07T00:00:00"/>
    <d v="1899-12-30T19:15:00"/>
    <n v="70"/>
    <n v="72"/>
    <n v="3"/>
    <s v="Airport Express"/>
    <n v="32"/>
    <n v="14"/>
    <x v="1"/>
    <x v="5"/>
    <n v="0"/>
    <n v="0"/>
    <s v=""/>
    <n v="1"/>
    <n v="1"/>
    <n v="1"/>
    <x v="8"/>
    <n v="1"/>
    <x v="0"/>
    <n v="2.19"/>
  </r>
  <r>
    <s v="T1994"/>
    <x v="3"/>
    <d v="2026-09-15T00:00:00"/>
    <d v="1899-12-30T13:15:00"/>
    <n v="117"/>
    <n v="122"/>
    <n v="5"/>
    <s v="Corridor North"/>
    <n v="18.5"/>
    <n v="22"/>
    <x v="3"/>
    <x v="0"/>
    <n v="0"/>
    <n v="0"/>
    <s v=""/>
    <n v="1"/>
    <n v="1"/>
    <n v="14"/>
    <x v="5"/>
    <n v="0"/>
    <x v="0"/>
    <n v="6.32"/>
  </r>
  <r>
    <s v="T1995"/>
    <x v="4"/>
    <d v="2026-09-23T00:00:00"/>
    <d v="1899-12-30T09:15:00"/>
    <n v="181"/>
    <n v="181"/>
    <n v="7"/>
    <s v="Suburban Link"/>
    <n v="24.8"/>
    <n v="28"/>
    <x v="4"/>
    <x v="6"/>
    <n v="0"/>
    <n v="0"/>
    <s v=""/>
    <n v="1"/>
    <n v="1"/>
    <n v="1"/>
    <x v="4"/>
    <n v="1"/>
    <x v="0"/>
    <n v="7.3"/>
  </r>
  <r>
    <s v="T1996"/>
    <x v="3"/>
    <d v="2026-09-29T00:00:00"/>
    <d v="1899-12-30T11:45:00"/>
    <n v="51"/>
    <n v="51"/>
    <n v="3"/>
    <s v="Corridor North"/>
    <n v="18.5"/>
    <n v="22"/>
    <x v="3"/>
    <x v="0"/>
    <n v="0"/>
    <n v="0"/>
    <s v=""/>
    <n v="1"/>
    <n v="1"/>
    <n v="1"/>
    <x v="9"/>
    <n v="0"/>
    <x v="0"/>
    <n v="2.76"/>
  </r>
  <r>
    <s v="T1997"/>
    <x v="0"/>
    <d v="2026-09-29T00:00:00"/>
    <d v="1899-12-30T05:30:00"/>
    <n v="106"/>
    <n v="113"/>
    <n v="3"/>
    <s v="Tech Park Shuttle"/>
    <n v="15"/>
    <n v="16"/>
    <x v="0"/>
    <x v="0"/>
    <n v="0"/>
    <n v="0"/>
    <s v=""/>
    <n v="1"/>
    <n v="1"/>
    <n v="0"/>
    <x v="16"/>
    <n v="0"/>
    <x v="0"/>
    <n v="7.07"/>
  </r>
  <r>
    <s v="T1998"/>
    <x v="1"/>
    <d v="2026-09-11T00:00:00"/>
    <d v="1899-12-30T11:45:00"/>
    <n v="66"/>
    <n v="66"/>
    <n v="4"/>
    <s v="Airport Express"/>
    <n v="32"/>
    <n v="14"/>
    <x v="1"/>
    <x v="3"/>
    <n v="0"/>
    <n v="0"/>
    <s v=""/>
    <n v="1"/>
    <n v="1"/>
    <n v="3"/>
    <x v="9"/>
    <n v="0"/>
    <x v="0"/>
    <n v="2.06"/>
  </r>
  <r>
    <s v="T1999"/>
    <x v="4"/>
    <d v="2026-09-20T00:00:00"/>
    <d v="1899-12-30T16:45:00"/>
    <n v="167"/>
    <n v="168"/>
    <n v="6"/>
    <s v="Suburban Link"/>
    <n v="24.8"/>
    <n v="28"/>
    <x v="4"/>
    <x v="2"/>
    <n v="1"/>
    <n v="0"/>
    <s v="Marathon"/>
    <n v="1"/>
    <n v="1"/>
    <n v="4"/>
    <x v="2"/>
    <n v="0"/>
    <x v="1"/>
    <n v="6.73"/>
  </r>
  <r>
    <s v="T2000"/>
    <x v="0"/>
    <d v="2026-09-02T00:00:00"/>
    <d v="1899-12-30T20:30:00"/>
    <n v="175"/>
    <n v="170"/>
    <n v="6"/>
    <s v="Tech Park Shuttle"/>
    <n v="15"/>
    <n v="16"/>
    <x v="0"/>
    <x v="6"/>
    <n v="0"/>
    <n v="0"/>
    <s v=""/>
    <n v="1"/>
    <n v="1"/>
    <n v="4"/>
    <x v="15"/>
    <n v="0"/>
    <x v="0"/>
    <n v="11.67"/>
  </r>
  <r>
    <s v="T2001"/>
    <x v="3"/>
    <d v="2026-09-15T00:00:00"/>
    <d v="1899-12-30T08:00:00"/>
    <n v="154"/>
    <n v="150"/>
    <n v="5"/>
    <s v="Corridor North"/>
    <n v="18.5"/>
    <n v="22"/>
    <x v="3"/>
    <x v="0"/>
    <n v="0"/>
    <n v="0"/>
    <s v=""/>
    <n v="1"/>
    <n v="1"/>
    <n v="2"/>
    <x v="13"/>
    <n v="1"/>
    <x v="0"/>
    <n v="8.32"/>
  </r>
  <r>
    <s v="T2002"/>
    <x v="1"/>
    <d v="2026-09-14T00:00:00"/>
    <d v="1899-12-30T11:45:00"/>
    <n v="182"/>
    <n v="174"/>
    <n v="7"/>
    <s v="Airport Express"/>
    <n v="32"/>
    <n v="14"/>
    <x v="1"/>
    <x v="5"/>
    <n v="0"/>
    <n v="0"/>
    <s v=""/>
    <n v="1"/>
    <n v="1"/>
    <n v="3"/>
    <x v="9"/>
    <n v="0"/>
    <x v="0"/>
    <n v="5.69"/>
  </r>
  <r>
    <s v="T2003"/>
    <x v="3"/>
    <d v="2026-09-20T00:00:00"/>
    <d v="1899-12-30T19:30:00"/>
    <n v="49"/>
    <n v="50"/>
    <n v="3"/>
    <s v="Corridor North"/>
    <n v="18.5"/>
    <n v="22"/>
    <x v="3"/>
    <x v="2"/>
    <n v="1"/>
    <n v="0"/>
    <s v="Marathon"/>
    <n v="1"/>
    <n v="1"/>
    <n v="10"/>
    <x v="8"/>
    <n v="1"/>
    <x v="1"/>
    <n v="2.65"/>
  </r>
  <r>
    <s v="T2004"/>
    <x v="2"/>
    <d v="2026-09-22T00:00:00"/>
    <d v="1899-12-30T13:45:00"/>
    <n v="74"/>
    <n v="63"/>
    <n v="4"/>
    <s v="Downtown Loop"/>
    <n v="12.2"/>
    <n v="18"/>
    <x v="2"/>
    <x v="0"/>
    <n v="0"/>
    <n v="0"/>
    <s v=""/>
    <n v="1"/>
    <n v="1"/>
    <n v="4"/>
    <x v="5"/>
    <n v="0"/>
    <x v="0"/>
    <n v="6.07"/>
  </r>
  <r>
    <s v="T2005"/>
    <x v="2"/>
    <d v="2026-09-11T00:00:00"/>
    <d v="1899-12-30T15:45:00"/>
    <n v="99"/>
    <n v="91"/>
    <n v="4"/>
    <s v="Downtown Loop"/>
    <n v="12.2"/>
    <n v="18"/>
    <x v="2"/>
    <x v="3"/>
    <n v="0"/>
    <n v="0"/>
    <s v=""/>
    <n v="1"/>
    <n v="1"/>
    <n v="4"/>
    <x v="17"/>
    <n v="0"/>
    <x v="0"/>
    <n v="8.11"/>
  </r>
  <r>
    <s v="T2006"/>
    <x v="1"/>
    <d v="2026-09-27T00:00:00"/>
    <d v="1899-12-30T05:30:00"/>
    <n v="120"/>
    <n v="109"/>
    <n v="6"/>
    <s v="Airport Express"/>
    <n v="32"/>
    <n v="14"/>
    <x v="1"/>
    <x v="2"/>
    <n v="1"/>
    <n v="0"/>
    <s v="Music Fest"/>
    <n v="1"/>
    <n v="1"/>
    <n v="0"/>
    <x v="16"/>
    <n v="0"/>
    <x v="1"/>
    <n v="3.75"/>
  </r>
  <r>
    <s v="T2007"/>
    <x v="3"/>
    <d v="2026-09-03T00:00:00"/>
    <d v="1899-12-30T12:00:00"/>
    <n v="108"/>
    <n v="107"/>
    <n v="4"/>
    <s v="Corridor North"/>
    <n v="18.5"/>
    <n v="22"/>
    <x v="3"/>
    <x v="4"/>
    <n v="0"/>
    <n v="0"/>
    <s v=""/>
    <n v="1"/>
    <n v="1"/>
    <n v="1"/>
    <x v="14"/>
    <n v="0"/>
    <x v="0"/>
    <n v="5.84"/>
  </r>
  <r>
    <s v="T2008"/>
    <x v="3"/>
    <d v="2026-09-17T00:00:00"/>
    <d v="1899-12-30T08:45:00"/>
    <n v="61"/>
    <n v="53"/>
    <n v="5"/>
    <s v="Corridor North"/>
    <n v="18.5"/>
    <n v="22"/>
    <x v="3"/>
    <x v="4"/>
    <n v="0"/>
    <n v="0"/>
    <s v=""/>
    <n v="1"/>
    <n v="1"/>
    <n v="1"/>
    <x v="13"/>
    <n v="1"/>
    <x v="0"/>
    <n v="3.3"/>
  </r>
  <r>
    <s v="T2009"/>
    <x v="3"/>
    <d v="2026-09-30T00:00:00"/>
    <d v="1899-12-30T07:00:00"/>
    <n v="80"/>
    <n v="82"/>
    <n v="3"/>
    <s v="Corridor North"/>
    <n v="18.5"/>
    <n v="22"/>
    <x v="3"/>
    <x v="6"/>
    <n v="0"/>
    <n v="0"/>
    <s v=""/>
    <n v="1"/>
    <n v="1"/>
    <n v="6"/>
    <x v="6"/>
    <n v="0"/>
    <x v="0"/>
    <n v="4.32"/>
  </r>
  <r>
    <s v="T2010"/>
    <x v="3"/>
    <d v="2026-09-12T00:00:00"/>
    <d v="1899-12-30T13:00:00"/>
    <n v="152"/>
    <n v="138"/>
    <n v="6"/>
    <s v="Corridor North"/>
    <n v="18.5"/>
    <n v="22"/>
    <x v="3"/>
    <x v="1"/>
    <n v="1"/>
    <n v="0"/>
    <s v="Tech Expo"/>
    <n v="1"/>
    <n v="1"/>
    <n v="8"/>
    <x v="5"/>
    <n v="0"/>
    <x v="1"/>
    <n v="8.2200000000000006"/>
  </r>
  <r>
    <s v="T2011"/>
    <x v="1"/>
    <d v="2026-09-24T00:00:00"/>
    <d v="1899-12-30T06:15:00"/>
    <n v="204"/>
    <n v="193"/>
    <n v="6"/>
    <s v="Airport Express"/>
    <n v="32"/>
    <n v="14"/>
    <x v="1"/>
    <x v="4"/>
    <n v="0"/>
    <n v="0"/>
    <s v=""/>
    <n v="1"/>
    <n v="1"/>
    <n v="4"/>
    <x v="12"/>
    <n v="0"/>
    <x v="0"/>
    <n v="6.38"/>
  </r>
  <r>
    <s v="T2012"/>
    <x v="1"/>
    <d v="2026-09-28T00:00:00"/>
    <d v="1899-12-30T17:30:00"/>
    <n v="40"/>
    <n v="47"/>
    <n v="3"/>
    <s v="Airport Express"/>
    <n v="32"/>
    <n v="14"/>
    <x v="1"/>
    <x v="5"/>
    <n v="0"/>
    <n v="0"/>
    <s v=""/>
    <n v="1"/>
    <n v="1"/>
    <n v="0"/>
    <x v="1"/>
    <n v="1"/>
    <x v="0"/>
    <n v="1.25"/>
  </r>
  <r>
    <s v="T2013"/>
    <x v="2"/>
    <d v="2026-09-29T00:00:00"/>
    <d v="1899-12-30T16:15:00"/>
    <n v="47"/>
    <n v="38"/>
    <n v="5"/>
    <s v="Downtown Loop"/>
    <n v="12.2"/>
    <n v="18"/>
    <x v="2"/>
    <x v="0"/>
    <n v="0"/>
    <n v="0"/>
    <s v=""/>
    <n v="1"/>
    <n v="1"/>
    <n v="0"/>
    <x v="2"/>
    <n v="0"/>
    <x v="0"/>
    <n v="3.85"/>
  </r>
  <r>
    <s v="T2014"/>
    <x v="3"/>
    <d v="2026-09-21T00:00:00"/>
    <d v="1899-12-30T08:15:00"/>
    <n v="179"/>
    <n v="180"/>
    <n v="6"/>
    <s v="Corridor North"/>
    <n v="18.5"/>
    <n v="22"/>
    <x v="3"/>
    <x v="5"/>
    <n v="0"/>
    <n v="0"/>
    <s v=""/>
    <n v="1"/>
    <n v="1"/>
    <n v="13"/>
    <x v="13"/>
    <n v="1"/>
    <x v="0"/>
    <n v="9.68"/>
  </r>
  <r>
    <s v="T2015"/>
    <x v="4"/>
    <d v="2026-09-15T00:00:00"/>
    <d v="1899-12-30T12:00:00"/>
    <n v="93"/>
    <n v="88"/>
    <n v="5"/>
    <s v="Suburban Link"/>
    <n v="24.8"/>
    <n v="28"/>
    <x v="4"/>
    <x v="0"/>
    <n v="0"/>
    <n v="0"/>
    <s v=""/>
    <n v="1"/>
    <n v="1"/>
    <n v="8"/>
    <x v="14"/>
    <n v="0"/>
    <x v="0"/>
    <n v="3.75"/>
  </r>
  <r>
    <s v="T2016"/>
    <x v="2"/>
    <d v="2026-09-16T00:00:00"/>
    <d v="1899-12-30T09:45:00"/>
    <n v="118"/>
    <n v="122"/>
    <n v="5"/>
    <s v="Downtown Loop"/>
    <n v="12.2"/>
    <n v="18"/>
    <x v="2"/>
    <x v="6"/>
    <n v="0"/>
    <n v="0"/>
    <s v=""/>
    <n v="1"/>
    <n v="1"/>
    <n v="1"/>
    <x v="4"/>
    <n v="1"/>
    <x v="0"/>
    <n v="9.67"/>
  </r>
  <r>
    <s v="T2017"/>
    <x v="3"/>
    <d v="2026-09-05T00:00:00"/>
    <d v="1899-12-30T22:30:00"/>
    <n v="113"/>
    <n v="104"/>
    <n v="3"/>
    <s v="Corridor North"/>
    <n v="18.5"/>
    <n v="22"/>
    <x v="3"/>
    <x v="1"/>
    <n v="1"/>
    <n v="1"/>
    <s v=""/>
    <n v="1"/>
    <n v="1"/>
    <n v="8"/>
    <x v="11"/>
    <n v="0"/>
    <x v="0"/>
    <n v="6.11"/>
  </r>
  <r>
    <s v="T2018"/>
    <x v="2"/>
    <d v="2026-09-27T00:00:00"/>
    <d v="1899-12-30T19:45:00"/>
    <n v="78"/>
    <n v="83"/>
    <n v="5"/>
    <s v="Downtown Loop"/>
    <n v="12.2"/>
    <n v="18"/>
    <x v="2"/>
    <x v="2"/>
    <n v="1"/>
    <n v="0"/>
    <s v="Music Fest"/>
    <n v="1"/>
    <n v="1"/>
    <n v="10"/>
    <x v="8"/>
    <n v="1"/>
    <x v="1"/>
    <n v="6.39"/>
  </r>
  <r>
    <s v="T2019"/>
    <x v="4"/>
    <d v="2026-09-20T00:00:00"/>
    <d v="1899-12-30T13:00:00"/>
    <n v="113"/>
    <n v="113"/>
    <n v="5"/>
    <s v="Suburban Link"/>
    <n v="24.8"/>
    <n v="28"/>
    <x v="4"/>
    <x v="2"/>
    <n v="1"/>
    <n v="0"/>
    <s v="Marathon"/>
    <n v="1"/>
    <n v="1"/>
    <n v="0"/>
    <x v="5"/>
    <n v="0"/>
    <x v="1"/>
    <n v="4.5599999999999996"/>
  </r>
  <r>
    <s v="T2020"/>
    <x v="1"/>
    <d v="2026-09-06T00:00:00"/>
    <d v="1899-12-30T16:30:00"/>
    <n v="72"/>
    <n v="67"/>
    <n v="4"/>
    <s v="Airport Express"/>
    <n v="32"/>
    <n v="14"/>
    <x v="1"/>
    <x v="2"/>
    <n v="1"/>
    <n v="0"/>
    <s v=""/>
    <n v="1"/>
    <n v="1"/>
    <n v="3"/>
    <x v="2"/>
    <n v="0"/>
    <x v="0"/>
    <n v="2.25"/>
  </r>
  <r>
    <s v="T2021"/>
    <x v="1"/>
    <d v="2026-09-19T00:00:00"/>
    <d v="1899-12-30T14:00:00"/>
    <n v="93"/>
    <n v="95"/>
    <n v="4"/>
    <s v="Airport Express"/>
    <n v="32"/>
    <n v="14"/>
    <x v="1"/>
    <x v="1"/>
    <n v="1"/>
    <n v="1"/>
    <s v=""/>
    <n v="1"/>
    <n v="1"/>
    <n v="8"/>
    <x v="7"/>
    <n v="0"/>
    <x v="0"/>
    <n v="2.91"/>
  </r>
  <r>
    <s v="T2022"/>
    <x v="1"/>
    <d v="2026-09-25T00:00:00"/>
    <d v="1899-12-30T14:30:00"/>
    <n v="73"/>
    <n v="66"/>
    <n v="3"/>
    <s v="Airport Express"/>
    <n v="32"/>
    <n v="14"/>
    <x v="1"/>
    <x v="3"/>
    <n v="0"/>
    <n v="0"/>
    <s v=""/>
    <n v="1"/>
    <n v="1"/>
    <n v="8"/>
    <x v="7"/>
    <n v="0"/>
    <x v="0"/>
    <n v="2.2799999999999998"/>
  </r>
  <r>
    <s v="T2023"/>
    <x v="1"/>
    <d v="2026-09-05T00:00:00"/>
    <d v="1899-12-30T17:30:00"/>
    <n v="178"/>
    <n v="171"/>
    <n v="7"/>
    <s v="Airport Express"/>
    <n v="32"/>
    <n v="14"/>
    <x v="1"/>
    <x v="1"/>
    <n v="1"/>
    <n v="1"/>
    <s v=""/>
    <n v="1"/>
    <n v="1"/>
    <n v="14"/>
    <x v="1"/>
    <n v="1"/>
    <x v="0"/>
    <n v="5.56"/>
  </r>
  <r>
    <s v="T2024"/>
    <x v="0"/>
    <d v="2026-09-03T00:00:00"/>
    <d v="1899-12-30T15:00:00"/>
    <n v="52"/>
    <n v="45"/>
    <n v="4"/>
    <s v="Tech Park Shuttle"/>
    <n v="15"/>
    <n v="16"/>
    <x v="0"/>
    <x v="4"/>
    <n v="0"/>
    <n v="0"/>
    <s v=""/>
    <n v="1"/>
    <n v="1"/>
    <n v="0"/>
    <x v="17"/>
    <n v="0"/>
    <x v="0"/>
    <n v="3.47"/>
  </r>
  <r>
    <s v="T2025"/>
    <x v="3"/>
    <d v="2026-09-27T00:00:00"/>
    <d v="1899-12-30T12:45:00"/>
    <n v="70"/>
    <n v="65"/>
    <n v="5"/>
    <s v="Corridor North"/>
    <n v="18.5"/>
    <n v="22"/>
    <x v="3"/>
    <x v="2"/>
    <n v="1"/>
    <n v="0"/>
    <s v="Music Fest"/>
    <n v="1"/>
    <n v="1"/>
    <n v="0"/>
    <x v="14"/>
    <n v="0"/>
    <x v="1"/>
    <n v="3.78"/>
  </r>
  <r>
    <s v="T2026"/>
    <x v="0"/>
    <d v="2026-09-01T00:00:00"/>
    <d v="1899-12-30T08:30:00"/>
    <n v="66"/>
    <n v="65"/>
    <n v="3"/>
    <s v="Tech Park Shuttle"/>
    <n v="15"/>
    <n v="16"/>
    <x v="0"/>
    <x v="0"/>
    <n v="0"/>
    <n v="0"/>
    <s v=""/>
    <n v="1"/>
    <n v="1"/>
    <n v="15"/>
    <x v="13"/>
    <n v="1"/>
    <x v="0"/>
    <n v="4.4000000000000004"/>
  </r>
  <r>
    <s v="T2027"/>
    <x v="0"/>
    <d v="2026-09-26T00:00:00"/>
    <d v="1899-12-30T15:30:00"/>
    <n v="48"/>
    <n v="47"/>
    <n v="3"/>
    <s v="Tech Park Shuttle"/>
    <n v="15"/>
    <n v="16"/>
    <x v="0"/>
    <x v="1"/>
    <n v="1"/>
    <n v="0"/>
    <s v=""/>
    <n v="1"/>
    <n v="1"/>
    <n v="6"/>
    <x v="17"/>
    <n v="0"/>
    <x v="0"/>
    <n v="3.2"/>
  </r>
  <r>
    <s v="T2028"/>
    <x v="0"/>
    <d v="2026-09-28T00:00:00"/>
    <d v="1899-12-30T05:00:00"/>
    <n v="96"/>
    <n v="95"/>
    <n v="6"/>
    <s v="Tech Park Shuttle"/>
    <n v="15"/>
    <n v="16"/>
    <x v="0"/>
    <x v="5"/>
    <n v="0"/>
    <n v="0"/>
    <s v=""/>
    <n v="1"/>
    <n v="1"/>
    <n v="1"/>
    <x v="16"/>
    <n v="0"/>
    <x v="0"/>
    <n v="6.4"/>
  </r>
  <r>
    <s v="T2029"/>
    <x v="1"/>
    <d v="2026-09-06T00:00:00"/>
    <d v="1899-12-30T19:45:00"/>
    <n v="132"/>
    <n v="135"/>
    <n v="4"/>
    <s v="Airport Express"/>
    <n v="32"/>
    <n v="14"/>
    <x v="1"/>
    <x v="2"/>
    <n v="1"/>
    <n v="0"/>
    <s v=""/>
    <n v="1"/>
    <n v="1"/>
    <n v="3"/>
    <x v="8"/>
    <n v="1"/>
    <x v="0"/>
    <n v="4.12"/>
  </r>
  <r>
    <s v="T2030"/>
    <x v="4"/>
    <d v="2026-09-15T00:00:00"/>
    <d v="1899-12-30T10:45:00"/>
    <n v="179"/>
    <n v="192"/>
    <n v="7"/>
    <s v="Suburban Link"/>
    <n v="24.8"/>
    <n v="28"/>
    <x v="4"/>
    <x v="0"/>
    <n v="0"/>
    <n v="0"/>
    <s v=""/>
    <n v="1"/>
    <n v="1"/>
    <n v="5"/>
    <x v="3"/>
    <n v="1"/>
    <x v="0"/>
    <n v="7.22"/>
  </r>
  <r>
    <s v="T2031"/>
    <x v="1"/>
    <d v="2026-09-02T00:00:00"/>
    <d v="1899-12-30T19:30:00"/>
    <n v="36"/>
    <n v="35"/>
    <n v="3"/>
    <s v="Airport Express"/>
    <n v="32"/>
    <n v="14"/>
    <x v="1"/>
    <x v="6"/>
    <n v="0"/>
    <n v="0"/>
    <s v=""/>
    <n v="1"/>
    <n v="1"/>
    <n v="4"/>
    <x v="8"/>
    <n v="1"/>
    <x v="0"/>
    <n v="1.1200000000000001"/>
  </r>
  <r>
    <s v="T2032"/>
    <x v="1"/>
    <d v="2026-09-29T00:00:00"/>
    <d v="1899-12-30T13:15:00"/>
    <n v="75"/>
    <n v="78"/>
    <n v="3"/>
    <s v="Airport Express"/>
    <n v="32"/>
    <n v="14"/>
    <x v="1"/>
    <x v="0"/>
    <n v="0"/>
    <n v="0"/>
    <s v=""/>
    <n v="1"/>
    <n v="1"/>
    <n v="4"/>
    <x v="5"/>
    <n v="0"/>
    <x v="0"/>
    <n v="2.34"/>
  </r>
  <r>
    <s v="T2033"/>
    <x v="3"/>
    <d v="2026-09-03T00:00:00"/>
    <d v="1899-12-30T22:15:00"/>
    <n v="105"/>
    <n v="105"/>
    <n v="5"/>
    <s v="Corridor North"/>
    <n v="18.5"/>
    <n v="22"/>
    <x v="3"/>
    <x v="4"/>
    <n v="0"/>
    <n v="0"/>
    <s v=""/>
    <n v="1"/>
    <n v="1"/>
    <n v="4"/>
    <x v="11"/>
    <n v="0"/>
    <x v="0"/>
    <n v="5.68"/>
  </r>
  <r>
    <s v="T2034"/>
    <x v="1"/>
    <d v="2026-09-17T00:00:00"/>
    <d v="1899-12-30T21:15:00"/>
    <n v="61"/>
    <n v="60"/>
    <n v="3"/>
    <s v="Airport Express"/>
    <n v="32"/>
    <n v="14"/>
    <x v="1"/>
    <x v="4"/>
    <n v="0"/>
    <n v="0"/>
    <s v=""/>
    <n v="1"/>
    <n v="1"/>
    <n v="2"/>
    <x v="10"/>
    <n v="0"/>
    <x v="0"/>
    <n v="1.91"/>
  </r>
  <r>
    <s v="T2035"/>
    <x v="1"/>
    <d v="2026-09-25T00:00:00"/>
    <d v="1899-12-30T09:45:00"/>
    <n v="34"/>
    <n v="34"/>
    <n v="3"/>
    <s v="Airport Express"/>
    <n v="32"/>
    <n v="14"/>
    <x v="1"/>
    <x v="3"/>
    <n v="0"/>
    <n v="0"/>
    <s v=""/>
    <n v="1"/>
    <n v="1"/>
    <n v="7"/>
    <x v="4"/>
    <n v="1"/>
    <x v="0"/>
    <n v="1.06"/>
  </r>
  <r>
    <s v="T2036"/>
    <x v="1"/>
    <d v="2026-09-24T00:00:00"/>
    <d v="1899-12-30T13:30:00"/>
    <n v="94"/>
    <n v="87"/>
    <n v="5"/>
    <s v="Airport Express"/>
    <n v="32"/>
    <n v="14"/>
    <x v="1"/>
    <x v="4"/>
    <n v="0"/>
    <n v="0"/>
    <s v=""/>
    <n v="1"/>
    <n v="1"/>
    <n v="2"/>
    <x v="5"/>
    <n v="0"/>
    <x v="0"/>
    <n v="2.94"/>
  </r>
  <r>
    <s v="T2037"/>
    <x v="2"/>
    <d v="2026-09-12T00:00:00"/>
    <d v="1899-12-30T05:15:00"/>
    <n v="78"/>
    <n v="84"/>
    <n v="3"/>
    <s v="Downtown Loop"/>
    <n v="12.2"/>
    <n v="18"/>
    <x v="2"/>
    <x v="1"/>
    <n v="1"/>
    <n v="0"/>
    <s v="Tech Expo"/>
    <n v="1"/>
    <n v="1"/>
    <n v="3"/>
    <x v="16"/>
    <n v="0"/>
    <x v="1"/>
    <n v="6.39"/>
  </r>
  <r>
    <s v="T2038"/>
    <x v="3"/>
    <d v="2026-09-18T00:00:00"/>
    <d v="1899-12-30T10:30:00"/>
    <n v="146"/>
    <n v="136"/>
    <n v="7"/>
    <s v="Corridor North"/>
    <n v="18.5"/>
    <n v="22"/>
    <x v="3"/>
    <x v="3"/>
    <n v="0"/>
    <n v="0"/>
    <s v=""/>
    <n v="1"/>
    <n v="1"/>
    <n v="4"/>
    <x v="3"/>
    <n v="1"/>
    <x v="0"/>
    <n v="7.89"/>
  </r>
  <r>
    <s v="T2039"/>
    <x v="2"/>
    <d v="2026-09-15T00:00:00"/>
    <d v="1899-12-30T06:30:00"/>
    <n v="87"/>
    <n v="87"/>
    <n v="6"/>
    <s v="Downtown Loop"/>
    <n v="12.2"/>
    <n v="18"/>
    <x v="2"/>
    <x v="0"/>
    <n v="0"/>
    <n v="0"/>
    <s v=""/>
    <n v="1"/>
    <n v="1"/>
    <n v="2"/>
    <x v="12"/>
    <n v="0"/>
    <x v="0"/>
    <n v="7.13"/>
  </r>
  <r>
    <s v="T2040"/>
    <x v="3"/>
    <d v="2026-09-12T00:00:00"/>
    <d v="1899-12-30T18:00:00"/>
    <n v="56"/>
    <n v="50"/>
    <n v="3"/>
    <s v="Corridor North"/>
    <n v="18.5"/>
    <n v="22"/>
    <x v="3"/>
    <x v="1"/>
    <n v="1"/>
    <n v="0"/>
    <s v="Tech Expo"/>
    <n v="1"/>
    <n v="1"/>
    <n v="8"/>
    <x v="0"/>
    <n v="1"/>
    <x v="1"/>
    <n v="3.03"/>
  </r>
  <r>
    <s v="T2041"/>
    <x v="1"/>
    <d v="2026-09-16T00:00:00"/>
    <d v="1899-12-30T10:15:00"/>
    <n v="101"/>
    <n v="92"/>
    <n v="5"/>
    <s v="Airport Express"/>
    <n v="32"/>
    <n v="14"/>
    <x v="1"/>
    <x v="6"/>
    <n v="0"/>
    <n v="0"/>
    <s v=""/>
    <n v="1"/>
    <n v="1"/>
    <n v="6"/>
    <x v="3"/>
    <n v="1"/>
    <x v="0"/>
    <n v="3.16"/>
  </r>
  <r>
    <s v="T2042"/>
    <x v="1"/>
    <d v="2026-09-27T00:00:00"/>
    <d v="1899-12-30T22:15:00"/>
    <n v="74"/>
    <n v="70"/>
    <n v="4"/>
    <s v="Airport Express"/>
    <n v="32"/>
    <n v="14"/>
    <x v="1"/>
    <x v="2"/>
    <n v="1"/>
    <n v="0"/>
    <s v="Music Fest"/>
    <n v="1"/>
    <n v="1"/>
    <n v="1"/>
    <x v="11"/>
    <n v="0"/>
    <x v="1"/>
    <n v="2.31"/>
  </r>
  <r>
    <s v="T2043"/>
    <x v="2"/>
    <d v="2026-09-08T00:00:00"/>
    <d v="1899-12-30T14:15:00"/>
    <n v="119"/>
    <n v="125"/>
    <n v="3"/>
    <s v="Downtown Loop"/>
    <n v="12.2"/>
    <n v="18"/>
    <x v="2"/>
    <x v="0"/>
    <n v="0"/>
    <n v="0"/>
    <s v=""/>
    <n v="1"/>
    <n v="1"/>
    <n v="14"/>
    <x v="7"/>
    <n v="0"/>
    <x v="0"/>
    <n v="9.75"/>
  </r>
  <r>
    <s v="T2044"/>
    <x v="2"/>
    <d v="2026-09-28T00:00:00"/>
    <d v="1899-12-30T17:30:00"/>
    <n v="94"/>
    <n v="92"/>
    <n v="4"/>
    <s v="Downtown Loop"/>
    <n v="12.2"/>
    <n v="18"/>
    <x v="2"/>
    <x v="5"/>
    <n v="0"/>
    <n v="0"/>
    <s v=""/>
    <n v="1"/>
    <n v="1"/>
    <n v="6"/>
    <x v="1"/>
    <n v="1"/>
    <x v="0"/>
    <n v="7.7"/>
  </r>
  <r>
    <s v="T2045"/>
    <x v="3"/>
    <d v="2026-09-14T00:00:00"/>
    <d v="1899-12-30T07:15:00"/>
    <n v="115"/>
    <n v="110"/>
    <n v="6"/>
    <s v="Corridor North"/>
    <n v="18.5"/>
    <n v="22"/>
    <x v="3"/>
    <x v="5"/>
    <n v="0"/>
    <n v="0"/>
    <s v=""/>
    <n v="1"/>
    <n v="1"/>
    <n v="4"/>
    <x v="6"/>
    <n v="0"/>
    <x v="0"/>
    <n v="6.22"/>
  </r>
  <r>
    <s v="T2046"/>
    <x v="1"/>
    <d v="2026-09-25T00:00:00"/>
    <d v="1899-12-30T10:00:00"/>
    <n v="51"/>
    <n v="67"/>
    <n v="4"/>
    <s v="Airport Express"/>
    <n v="32"/>
    <n v="14"/>
    <x v="1"/>
    <x v="3"/>
    <n v="0"/>
    <n v="0"/>
    <s v=""/>
    <n v="1"/>
    <n v="1"/>
    <n v="2"/>
    <x v="3"/>
    <n v="1"/>
    <x v="0"/>
    <n v="1.59"/>
  </r>
  <r>
    <s v="T2047"/>
    <x v="3"/>
    <d v="2026-09-17T00:00:00"/>
    <d v="1899-12-30T12:45:00"/>
    <n v="189"/>
    <n v="186"/>
    <n v="4"/>
    <s v="Corridor North"/>
    <n v="18.5"/>
    <n v="22"/>
    <x v="3"/>
    <x v="4"/>
    <n v="0"/>
    <n v="0"/>
    <s v=""/>
    <n v="1"/>
    <n v="1"/>
    <n v="3"/>
    <x v="14"/>
    <n v="0"/>
    <x v="0"/>
    <n v="10.220000000000001"/>
  </r>
  <r>
    <s v="T2048"/>
    <x v="2"/>
    <d v="2026-09-29T00:00:00"/>
    <d v="1899-12-30T17:30:00"/>
    <n v="90"/>
    <n v="88"/>
    <n v="3"/>
    <s v="Downtown Loop"/>
    <n v="12.2"/>
    <n v="18"/>
    <x v="2"/>
    <x v="0"/>
    <n v="0"/>
    <n v="0"/>
    <s v=""/>
    <n v="1"/>
    <n v="1"/>
    <n v="1"/>
    <x v="1"/>
    <n v="1"/>
    <x v="0"/>
    <n v="7.38"/>
  </r>
  <r>
    <s v="T2049"/>
    <x v="4"/>
    <d v="2026-09-21T00:00:00"/>
    <d v="1899-12-30T16:00:00"/>
    <n v="79"/>
    <n v="75"/>
    <n v="4"/>
    <s v="Suburban Link"/>
    <n v="24.8"/>
    <n v="28"/>
    <x v="4"/>
    <x v="5"/>
    <n v="0"/>
    <n v="0"/>
    <s v=""/>
    <n v="1"/>
    <n v="1"/>
    <n v="0"/>
    <x v="2"/>
    <n v="0"/>
    <x v="0"/>
    <n v="3.19"/>
  </r>
  <r>
    <s v="T2050"/>
    <x v="2"/>
    <d v="2026-09-08T00:00:00"/>
    <d v="1899-12-30T21:45:00"/>
    <n v="124"/>
    <n v="124"/>
    <n v="6"/>
    <s v="Downtown Loop"/>
    <n v="12.2"/>
    <n v="18"/>
    <x v="2"/>
    <x v="0"/>
    <n v="0"/>
    <n v="0"/>
    <s v=""/>
    <n v="1"/>
    <n v="1"/>
    <n v="0"/>
    <x v="10"/>
    <n v="0"/>
    <x v="0"/>
    <n v="10.16"/>
  </r>
  <r>
    <s v="T2051"/>
    <x v="4"/>
    <d v="2026-09-15T00:00:00"/>
    <d v="1899-12-30T15:00:00"/>
    <n v="162"/>
    <n v="165"/>
    <n v="5"/>
    <s v="Suburban Link"/>
    <n v="24.8"/>
    <n v="28"/>
    <x v="4"/>
    <x v="0"/>
    <n v="0"/>
    <n v="0"/>
    <s v=""/>
    <n v="1"/>
    <n v="1"/>
    <n v="4"/>
    <x v="17"/>
    <n v="0"/>
    <x v="0"/>
    <n v="6.53"/>
  </r>
  <r>
    <s v="T2052"/>
    <x v="3"/>
    <d v="2026-09-27T00:00:00"/>
    <d v="1899-12-30T22:30:00"/>
    <n v="77"/>
    <n v="77"/>
    <n v="6"/>
    <s v="Corridor North"/>
    <n v="18.5"/>
    <n v="22"/>
    <x v="3"/>
    <x v="2"/>
    <n v="1"/>
    <n v="0"/>
    <s v="Music Fest"/>
    <n v="1"/>
    <n v="1"/>
    <n v="9"/>
    <x v="11"/>
    <n v="0"/>
    <x v="1"/>
    <n v="4.16"/>
  </r>
  <r>
    <s v="T2053"/>
    <x v="2"/>
    <d v="2026-09-14T00:00:00"/>
    <d v="1899-12-30T16:15:00"/>
    <n v="111"/>
    <n v="122"/>
    <n v="3"/>
    <s v="Downtown Loop"/>
    <n v="12.2"/>
    <n v="18"/>
    <x v="2"/>
    <x v="5"/>
    <n v="0"/>
    <n v="0"/>
    <s v=""/>
    <n v="1"/>
    <n v="1"/>
    <n v="12"/>
    <x v="2"/>
    <n v="0"/>
    <x v="0"/>
    <n v="9.1"/>
  </r>
  <r>
    <s v="T2054"/>
    <x v="3"/>
    <d v="2026-09-18T00:00:00"/>
    <d v="1899-12-30T13:45:00"/>
    <n v="111"/>
    <n v="109"/>
    <n v="5"/>
    <s v="Corridor North"/>
    <n v="18.5"/>
    <n v="22"/>
    <x v="3"/>
    <x v="3"/>
    <n v="0"/>
    <n v="0"/>
    <s v=""/>
    <n v="1"/>
    <n v="1"/>
    <n v="6"/>
    <x v="5"/>
    <n v="0"/>
    <x v="0"/>
    <n v="6"/>
  </r>
  <r>
    <s v="T2055"/>
    <x v="1"/>
    <d v="2026-09-20T00:00:00"/>
    <d v="1899-12-30T08:30:00"/>
    <n v="85"/>
    <n v="77"/>
    <n v="3"/>
    <s v="Airport Express"/>
    <n v="32"/>
    <n v="14"/>
    <x v="1"/>
    <x v="2"/>
    <n v="1"/>
    <n v="0"/>
    <s v="Marathon"/>
    <n v="1"/>
    <n v="1"/>
    <n v="2"/>
    <x v="13"/>
    <n v="1"/>
    <x v="1"/>
    <n v="2.66"/>
  </r>
  <r>
    <s v="T2056"/>
    <x v="3"/>
    <d v="2026-09-07T00:00:00"/>
    <d v="1899-12-30T20:45:00"/>
    <n v="174"/>
    <n v="162"/>
    <n v="7"/>
    <s v="Corridor North"/>
    <n v="18.5"/>
    <n v="22"/>
    <x v="3"/>
    <x v="5"/>
    <n v="0"/>
    <n v="0"/>
    <s v=""/>
    <n v="1"/>
    <n v="1"/>
    <n v="8"/>
    <x v="15"/>
    <n v="0"/>
    <x v="0"/>
    <n v="9.41"/>
  </r>
  <r>
    <s v="T2057"/>
    <x v="4"/>
    <d v="2026-09-03T00:00:00"/>
    <d v="1899-12-30T16:30:00"/>
    <n v="43"/>
    <n v="37"/>
    <n v="4"/>
    <s v="Suburban Link"/>
    <n v="24.8"/>
    <n v="28"/>
    <x v="4"/>
    <x v="4"/>
    <n v="0"/>
    <n v="0"/>
    <s v=""/>
    <n v="1"/>
    <n v="1"/>
    <n v="11"/>
    <x v="2"/>
    <n v="0"/>
    <x v="0"/>
    <n v="1.73"/>
  </r>
  <r>
    <s v="T2058"/>
    <x v="3"/>
    <d v="2026-09-29T00:00:00"/>
    <d v="1899-12-30T09:00:00"/>
    <n v="73"/>
    <n v="72"/>
    <n v="4"/>
    <s v="Corridor North"/>
    <n v="18.5"/>
    <n v="22"/>
    <x v="3"/>
    <x v="0"/>
    <n v="0"/>
    <n v="0"/>
    <s v=""/>
    <n v="1"/>
    <n v="1"/>
    <n v="11"/>
    <x v="4"/>
    <n v="1"/>
    <x v="0"/>
    <n v="3.95"/>
  </r>
  <r>
    <s v="T2059"/>
    <x v="3"/>
    <d v="2026-09-12T00:00:00"/>
    <d v="1899-12-30T22:30:00"/>
    <n v="129"/>
    <n v="130"/>
    <n v="5"/>
    <s v="Corridor North"/>
    <n v="18.5"/>
    <n v="22"/>
    <x v="3"/>
    <x v="1"/>
    <n v="1"/>
    <n v="0"/>
    <s v="Tech Expo"/>
    <n v="1"/>
    <n v="1"/>
    <n v="2"/>
    <x v="11"/>
    <n v="0"/>
    <x v="1"/>
    <n v="6.97"/>
  </r>
  <r>
    <s v="T2060"/>
    <x v="4"/>
    <d v="2026-09-21T00:00:00"/>
    <d v="1899-12-30T10:15:00"/>
    <n v="59"/>
    <n v="59"/>
    <n v="2"/>
    <s v="Suburban Link"/>
    <n v="24.8"/>
    <n v="28"/>
    <x v="4"/>
    <x v="5"/>
    <n v="0"/>
    <n v="0"/>
    <s v=""/>
    <n v="1"/>
    <n v="1"/>
    <n v="4"/>
    <x v="3"/>
    <n v="1"/>
    <x v="0"/>
    <n v="2.38"/>
  </r>
  <r>
    <s v="T2061"/>
    <x v="3"/>
    <d v="2026-09-24T00:00:00"/>
    <d v="1899-12-30T22:15:00"/>
    <n v="92"/>
    <n v="92"/>
    <n v="4"/>
    <s v="Corridor North"/>
    <n v="18.5"/>
    <n v="22"/>
    <x v="3"/>
    <x v="4"/>
    <n v="0"/>
    <n v="0"/>
    <s v=""/>
    <n v="1"/>
    <n v="1"/>
    <n v="1"/>
    <x v="11"/>
    <n v="0"/>
    <x v="0"/>
    <n v="4.97"/>
  </r>
  <r>
    <s v="T2062"/>
    <x v="2"/>
    <d v="2026-09-28T00:00:00"/>
    <d v="1899-12-30T10:45:00"/>
    <n v="175"/>
    <n v="174"/>
    <n v="7"/>
    <s v="Downtown Loop"/>
    <n v="12.2"/>
    <n v="18"/>
    <x v="2"/>
    <x v="5"/>
    <n v="0"/>
    <n v="0"/>
    <s v=""/>
    <n v="1"/>
    <n v="1"/>
    <n v="6"/>
    <x v="3"/>
    <n v="1"/>
    <x v="0"/>
    <n v="14.34"/>
  </r>
  <r>
    <s v="T2063"/>
    <x v="1"/>
    <d v="2026-09-26T00:00:00"/>
    <d v="1899-12-30T16:30:00"/>
    <n v="98"/>
    <n v="96"/>
    <n v="2"/>
    <s v="Airport Express"/>
    <n v="32"/>
    <n v="14"/>
    <x v="1"/>
    <x v="1"/>
    <n v="1"/>
    <n v="0"/>
    <s v=""/>
    <n v="1"/>
    <n v="1"/>
    <n v="25"/>
    <x v="2"/>
    <n v="0"/>
    <x v="0"/>
    <n v="3.06"/>
  </r>
  <r>
    <s v="T2064"/>
    <x v="3"/>
    <d v="2026-09-03T00:00:00"/>
    <d v="1899-12-30T06:00:00"/>
    <n v="59"/>
    <n v="54"/>
    <n v="4"/>
    <s v="Corridor North"/>
    <n v="18.5"/>
    <n v="22"/>
    <x v="3"/>
    <x v="4"/>
    <n v="0"/>
    <n v="0"/>
    <s v=""/>
    <n v="1"/>
    <n v="1"/>
    <n v="4"/>
    <x v="12"/>
    <n v="0"/>
    <x v="0"/>
    <n v="3.19"/>
  </r>
  <r>
    <s v="T2065"/>
    <x v="3"/>
    <d v="2026-09-20T00:00:00"/>
    <d v="1899-12-30T15:30:00"/>
    <n v="196"/>
    <n v="189"/>
    <n v="7"/>
    <s v="Corridor North"/>
    <n v="18.5"/>
    <n v="22"/>
    <x v="3"/>
    <x v="2"/>
    <n v="1"/>
    <n v="0"/>
    <s v="Marathon"/>
    <n v="1"/>
    <n v="1"/>
    <n v="3"/>
    <x v="17"/>
    <n v="0"/>
    <x v="1"/>
    <n v="10.59"/>
  </r>
  <r>
    <s v="T2066"/>
    <x v="3"/>
    <d v="2026-09-14T00:00:00"/>
    <d v="1899-12-30T20:15:00"/>
    <n v="182"/>
    <n v="171"/>
    <n v="6"/>
    <s v="Corridor North"/>
    <n v="18.5"/>
    <n v="22"/>
    <x v="3"/>
    <x v="5"/>
    <n v="0"/>
    <n v="0"/>
    <s v=""/>
    <n v="1"/>
    <n v="1"/>
    <n v="1"/>
    <x v="15"/>
    <n v="0"/>
    <x v="0"/>
    <n v="9.84"/>
  </r>
  <r>
    <s v="T2067"/>
    <x v="0"/>
    <d v="2026-09-15T00:00:00"/>
    <d v="1899-12-30T06:30:00"/>
    <n v="75"/>
    <n v="78"/>
    <n v="3"/>
    <s v="Tech Park Shuttle"/>
    <n v="15"/>
    <n v="16"/>
    <x v="0"/>
    <x v="0"/>
    <n v="0"/>
    <n v="0"/>
    <s v=""/>
    <n v="1"/>
    <n v="1"/>
    <n v="14"/>
    <x v="12"/>
    <n v="0"/>
    <x v="0"/>
    <n v="5"/>
  </r>
  <r>
    <s v="T2068"/>
    <x v="3"/>
    <d v="2026-09-25T00:00:00"/>
    <d v="1899-12-30T12:00:00"/>
    <n v="65"/>
    <n v="69"/>
    <n v="3"/>
    <s v="Corridor North"/>
    <n v="18.5"/>
    <n v="22"/>
    <x v="3"/>
    <x v="3"/>
    <n v="0"/>
    <n v="0"/>
    <s v=""/>
    <n v="1"/>
    <n v="1"/>
    <n v="1"/>
    <x v="14"/>
    <n v="0"/>
    <x v="0"/>
    <n v="3.51"/>
  </r>
  <r>
    <s v="T2069"/>
    <x v="4"/>
    <d v="2026-09-30T00:00:00"/>
    <d v="1899-12-30T14:45:00"/>
    <n v="192"/>
    <n v="192"/>
    <n v="7"/>
    <s v="Suburban Link"/>
    <n v="24.8"/>
    <n v="28"/>
    <x v="4"/>
    <x v="6"/>
    <n v="0"/>
    <n v="0"/>
    <s v=""/>
    <n v="1"/>
    <n v="1"/>
    <n v="0"/>
    <x v="7"/>
    <n v="0"/>
    <x v="0"/>
    <n v="7.74"/>
  </r>
  <r>
    <s v="T2070"/>
    <x v="0"/>
    <d v="2026-09-14T00:00:00"/>
    <d v="1899-12-30T08:30:00"/>
    <n v="125"/>
    <n v="127"/>
    <n v="5"/>
    <s v="Tech Park Shuttle"/>
    <n v="15"/>
    <n v="16"/>
    <x v="0"/>
    <x v="5"/>
    <n v="0"/>
    <n v="0"/>
    <s v=""/>
    <n v="1"/>
    <n v="1"/>
    <n v="4"/>
    <x v="13"/>
    <n v="1"/>
    <x v="0"/>
    <n v="8.33"/>
  </r>
  <r>
    <s v="T2071"/>
    <x v="4"/>
    <d v="2026-09-07T00:00:00"/>
    <d v="1899-12-30T05:30:00"/>
    <n v="70"/>
    <n v="65"/>
    <n v="3"/>
    <s v="Suburban Link"/>
    <n v="24.8"/>
    <n v="28"/>
    <x v="4"/>
    <x v="5"/>
    <n v="0"/>
    <n v="0"/>
    <s v=""/>
    <n v="1"/>
    <n v="1"/>
    <n v="6"/>
    <x v="16"/>
    <n v="0"/>
    <x v="0"/>
    <n v="2.82"/>
  </r>
  <r>
    <s v="T2072"/>
    <x v="1"/>
    <d v="2026-09-17T00:00:00"/>
    <d v="1899-12-30T11:00:00"/>
    <n v="70"/>
    <n v="72"/>
    <n v="4"/>
    <s v="Airport Express"/>
    <n v="32"/>
    <n v="14"/>
    <x v="1"/>
    <x v="4"/>
    <n v="0"/>
    <n v="0"/>
    <s v=""/>
    <n v="1"/>
    <n v="1"/>
    <n v="3"/>
    <x v="9"/>
    <n v="0"/>
    <x v="0"/>
    <n v="2.19"/>
  </r>
  <r>
    <s v="T2073"/>
    <x v="0"/>
    <d v="2026-09-30T00:00:00"/>
    <d v="1899-12-30T22:15:00"/>
    <n v="138"/>
    <n v="140"/>
    <n v="7"/>
    <s v="Tech Park Shuttle"/>
    <n v="15"/>
    <n v="16"/>
    <x v="0"/>
    <x v="6"/>
    <n v="0"/>
    <n v="0"/>
    <s v=""/>
    <n v="1"/>
    <n v="1"/>
    <n v="6"/>
    <x v="11"/>
    <n v="0"/>
    <x v="0"/>
    <n v="9.1999999999999993"/>
  </r>
  <r>
    <s v="T2074"/>
    <x v="2"/>
    <d v="2026-09-12T00:00:00"/>
    <d v="1899-12-30T16:00:00"/>
    <n v="187"/>
    <n v="181"/>
    <n v="5"/>
    <s v="Downtown Loop"/>
    <n v="12.2"/>
    <n v="18"/>
    <x v="2"/>
    <x v="1"/>
    <n v="1"/>
    <n v="0"/>
    <s v="Tech Expo"/>
    <n v="1"/>
    <n v="1"/>
    <n v="0"/>
    <x v="2"/>
    <n v="0"/>
    <x v="1"/>
    <n v="15.33"/>
  </r>
  <r>
    <s v="T2075"/>
    <x v="3"/>
    <d v="2026-09-20T00:00:00"/>
    <d v="1899-12-30T09:15:00"/>
    <n v="137"/>
    <n v="138"/>
    <n v="7"/>
    <s v="Corridor North"/>
    <n v="18.5"/>
    <n v="22"/>
    <x v="3"/>
    <x v="2"/>
    <n v="1"/>
    <n v="0"/>
    <s v="Marathon"/>
    <n v="1"/>
    <n v="1"/>
    <n v="2"/>
    <x v="4"/>
    <n v="1"/>
    <x v="1"/>
    <n v="7.41"/>
  </r>
  <r>
    <s v="T2076"/>
    <x v="3"/>
    <d v="2026-09-04T00:00:00"/>
    <d v="1899-12-30T08:00:00"/>
    <n v="25"/>
    <n v="16"/>
    <n v="3"/>
    <s v="Corridor North"/>
    <n v="18.5"/>
    <n v="22"/>
    <x v="3"/>
    <x v="3"/>
    <n v="0"/>
    <n v="0"/>
    <s v=""/>
    <n v="1"/>
    <n v="1"/>
    <n v="17"/>
    <x v="13"/>
    <n v="1"/>
    <x v="0"/>
    <n v="1.35"/>
  </r>
  <r>
    <s v="T2077"/>
    <x v="1"/>
    <d v="2026-09-09T00:00:00"/>
    <d v="1899-12-30T14:30:00"/>
    <n v="33"/>
    <n v="28"/>
    <n v="3"/>
    <s v="Airport Express"/>
    <n v="32"/>
    <n v="14"/>
    <x v="1"/>
    <x v="6"/>
    <n v="0"/>
    <n v="0"/>
    <s v=""/>
    <n v="1"/>
    <n v="1"/>
    <n v="19"/>
    <x v="7"/>
    <n v="0"/>
    <x v="0"/>
    <n v="1.03"/>
  </r>
  <r>
    <s v="T2078"/>
    <x v="3"/>
    <d v="2026-09-06T00:00:00"/>
    <d v="1899-12-30T15:00:00"/>
    <n v="99"/>
    <n v="98"/>
    <n v="5"/>
    <s v="Corridor North"/>
    <n v="18.5"/>
    <n v="22"/>
    <x v="3"/>
    <x v="2"/>
    <n v="1"/>
    <n v="0"/>
    <s v=""/>
    <n v="1"/>
    <n v="1"/>
    <n v="10"/>
    <x v="17"/>
    <n v="0"/>
    <x v="0"/>
    <n v="5.35"/>
  </r>
  <r>
    <s v="T2079"/>
    <x v="3"/>
    <d v="2026-09-16T00:00:00"/>
    <d v="1899-12-30T14:45:00"/>
    <n v="49"/>
    <n v="32"/>
    <n v="5"/>
    <s v="Corridor North"/>
    <n v="18.5"/>
    <n v="22"/>
    <x v="3"/>
    <x v="6"/>
    <n v="0"/>
    <n v="0"/>
    <s v=""/>
    <n v="1"/>
    <n v="1"/>
    <n v="23"/>
    <x v="7"/>
    <n v="0"/>
    <x v="0"/>
    <n v="2.65"/>
  </r>
  <r>
    <s v="T2080"/>
    <x v="1"/>
    <d v="2026-09-25T00:00:00"/>
    <d v="1899-12-30T12:15:00"/>
    <n v="59"/>
    <n v="55"/>
    <n v="3"/>
    <s v="Airport Express"/>
    <n v="32"/>
    <n v="14"/>
    <x v="1"/>
    <x v="3"/>
    <n v="0"/>
    <n v="0"/>
    <s v=""/>
    <n v="1"/>
    <n v="1"/>
    <n v="21"/>
    <x v="14"/>
    <n v="0"/>
    <x v="0"/>
    <n v="1.84"/>
  </r>
  <r>
    <s v="T2081"/>
    <x v="2"/>
    <d v="2026-09-28T00:00:00"/>
    <d v="1899-12-30T12:45:00"/>
    <n v="185"/>
    <n v="184"/>
    <n v="6"/>
    <s v="Downtown Loop"/>
    <n v="12.2"/>
    <n v="18"/>
    <x v="2"/>
    <x v="5"/>
    <n v="0"/>
    <n v="0"/>
    <s v=""/>
    <n v="1"/>
    <n v="1"/>
    <n v="0"/>
    <x v="14"/>
    <n v="0"/>
    <x v="0"/>
    <n v="15.16"/>
  </r>
  <r>
    <s v="T2082"/>
    <x v="1"/>
    <d v="2026-09-22T00:00:00"/>
    <d v="1899-12-30T09:30:00"/>
    <n v="87"/>
    <n v="92"/>
    <n v="3"/>
    <s v="Airport Express"/>
    <n v="32"/>
    <n v="14"/>
    <x v="1"/>
    <x v="0"/>
    <n v="0"/>
    <n v="0"/>
    <s v=""/>
    <n v="1"/>
    <n v="1"/>
    <n v="1"/>
    <x v="4"/>
    <n v="1"/>
    <x v="0"/>
    <n v="2.72"/>
  </r>
  <r>
    <s v="T2083"/>
    <x v="0"/>
    <d v="2026-09-22T00:00:00"/>
    <d v="1899-12-30T07:45:00"/>
    <n v="63"/>
    <n v="57"/>
    <n v="4"/>
    <s v="Tech Park Shuttle"/>
    <n v="15"/>
    <n v="16"/>
    <x v="0"/>
    <x v="0"/>
    <n v="0"/>
    <n v="0"/>
    <s v=""/>
    <n v="1"/>
    <n v="1"/>
    <n v="23"/>
    <x v="6"/>
    <n v="0"/>
    <x v="0"/>
    <n v="4.2"/>
  </r>
  <r>
    <s v="T2084"/>
    <x v="0"/>
    <d v="2026-09-21T00:00:00"/>
    <d v="1899-12-30T17:00:00"/>
    <n v="112"/>
    <n v="104"/>
    <n v="5"/>
    <s v="Tech Park Shuttle"/>
    <n v="15"/>
    <n v="16"/>
    <x v="0"/>
    <x v="5"/>
    <n v="0"/>
    <n v="0"/>
    <s v=""/>
    <n v="1"/>
    <n v="1"/>
    <n v="4"/>
    <x v="1"/>
    <n v="1"/>
    <x v="0"/>
    <n v="7.47"/>
  </r>
  <r>
    <s v="T2085"/>
    <x v="0"/>
    <d v="2026-09-21T00:00:00"/>
    <d v="1899-12-30T14:45:00"/>
    <n v="86"/>
    <n v="87"/>
    <n v="4"/>
    <s v="Tech Park Shuttle"/>
    <n v="15"/>
    <n v="16"/>
    <x v="0"/>
    <x v="5"/>
    <n v="0"/>
    <n v="0"/>
    <s v=""/>
    <n v="1"/>
    <n v="1"/>
    <n v="7"/>
    <x v="7"/>
    <n v="0"/>
    <x v="0"/>
    <n v="5.73"/>
  </r>
  <r>
    <s v="T2086"/>
    <x v="4"/>
    <d v="2026-09-02T00:00:00"/>
    <d v="1899-12-30T13:15:00"/>
    <n v="96"/>
    <n v="95"/>
    <n v="5"/>
    <s v="Suburban Link"/>
    <n v="24.8"/>
    <n v="28"/>
    <x v="4"/>
    <x v="6"/>
    <n v="0"/>
    <n v="0"/>
    <s v=""/>
    <n v="1"/>
    <n v="1"/>
    <n v="1"/>
    <x v="5"/>
    <n v="0"/>
    <x v="0"/>
    <n v="3.87"/>
  </r>
  <r>
    <s v="T2087"/>
    <x v="4"/>
    <d v="2026-09-24T00:00:00"/>
    <d v="1899-12-30T06:30:00"/>
    <n v="121"/>
    <n v="120"/>
    <n v="3"/>
    <s v="Suburban Link"/>
    <n v="24.8"/>
    <n v="28"/>
    <x v="4"/>
    <x v="4"/>
    <n v="0"/>
    <n v="0"/>
    <s v=""/>
    <n v="1"/>
    <n v="1"/>
    <n v="4"/>
    <x v="12"/>
    <n v="0"/>
    <x v="0"/>
    <n v="4.88"/>
  </r>
  <r>
    <s v="T2088"/>
    <x v="3"/>
    <d v="2026-09-08T00:00:00"/>
    <d v="1899-12-30T05:45:00"/>
    <n v="163"/>
    <n v="162"/>
    <n v="7"/>
    <s v="Corridor North"/>
    <n v="18.5"/>
    <n v="22"/>
    <x v="3"/>
    <x v="0"/>
    <n v="0"/>
    <n v="0"/>
    <s v=""/>
    <n v="1"/>
    <n v="1"/>
    <n v="6"/>
    <x v="16"/>
    <n v="0"/>
    <x v="0"/>
    <n v="8.81"/>
  </r>
  <r>
    <s v="T2089"/>
    <x v="1"/>
    <d v="2026-09-11T00:00:00"/>
    <d v="1899-12-30T11:00:00"/>
    <n v="112"/>
    <n v="112"/>
    <n v="6"/>
    <s v="Airport Express"/>
    <n v="32"/>
    <n v="14"/>
    <x v="1"/>
    <x v="3"/>
    <n v="0"/>
    <n v="0"/>
    <s v=""/>
    <n v="1"/>
    <n v="1"/>
    <n v="0"/>
    <x v="9"/>
    <n v="0"/>
    <x v="0"/>
    <n v="3.5"/>
  </r>
  <r>
    <s v="T2090"/>
    <x v="0"/>
    <d v="2026-09-13T00:00:00"/>
    <d v="1899-12-30T07:45:00"/>
    <n v="203"/>
    <n v="213"/>
    <n v="6"/>
    <s v="Tech Park Shuttle"/>
    <n v="15"/>
    <n v="16"/>
    <x v="0"/>
    <x v="2"/>
    <n v="1"/>
    <n v="0"/>
    <s v=""/>
    <n v="1"/>
    <n v="1"/>
    <n v="6"/>
    <x v="6"/>
    <n v="0"/>
    <x v="0"/>
    <n v="13.53"/>
  </r>
  <r>
    <s v="T2091"/>
    <x v="4"/>
    <d v="2026-09-17T00:00:00"/>
    <d v="1899-12-30T07:30:00"/>
    <n v="98"/>
    <n v="96"/>
    <n v="4"/>
    <s v="Suburban Link"/>
    <n v="24.8"/>
    <n v="28"/>
    <x v="4"/>
    <x v="4"/>
    <n v="0"/>
    <n v="0"/>
    <s v=""/>
    <n v="1"/>
    <n v="1"/>
    <n v="1"/>
    <x v="6"/>
    <n v="0"/>
    <x v="0"/>
    <n v="3.95"/>
  </r>
  <r>
    <s v="T2092"/>
    <x v="3"/>
    <d v="2026-09-08T00:00:00"/>
    <d v="1899-12-30T21:30:00"/>
    <n v="113"/>
    <n v="111"/>
    <n v="3"/>
    <s v="Corridor North"/>
    <n v="18.5"/>
    <n v="22"/>
    <x v="3"/>
    <x v="0"/>
    <n v="0"/>
    <n v="0"/>
    <s v=""/>
    <n v="1"/>
    <n v="1"/>
    <n v="2"/>
    <x v="10"/>
    <n v="0"/>
    <x v="0"/>
    <n v="6.11"/>
  </r>
  <r>
    <s v="T2093"/>
    <x v="2"/>
    <d v="2026-09-21T00:00:00"/>
    <d v="1899-12-30T18:00:00"/>
    <n v="110"/>
    <n v="101"/>
    <n v="5"/>
    <s v="Downtown Loop"/>
    <n v="12.2"/>
    <n v="18"/>
    <x v="2"/>
    <x v="5"/>
    <n v="0"/>
    <n v="0"/>
    <s v=""/>
    <n v="1"/>
    <n v="1"/>
    <n v="6"/>
    <x v="0"/>
    <n v="1"/>
    <x v="0"/>
    <n v="9.02"/>
  </r>
  <r>
    <s v="T2094"/>
    <x v="3"/>
    <d v="2026-09-18T00:00:00"/>
    <d v="1899-12-30T22:00:00"/>
    <n v="140"/>
    <n v="145"/>
    <n v="7"/>
    <s v="Corridor North"/>
    <n v="18.5"/>
    <n v="22"/>
    <x v="3"/>
    <x v="3"/>
    <n v="0"/>
    <n v="0"/>
    <s v=""/>
    <n v="1"/>
    <n v="1"/>
    <n v="14"/>
    <x v="11"/>
    <n v="0"/>
    <x v="0"/>
    <n v="7.57"/>
  </r>
  <r>
    <s v="T2095"/>
    <x v="4"/>
    <d v="2026-09-30T00:00:00"/>
    <d v="1899-12-30T22:45:00"/>
    <n v="131"/>
    <n v="121"/>
    <n v="4"/>
    <s v="Suburban Link"/>
    <n v="24.8"/>
    <n v="28"/>
    <x v="4"/>
    <x v="6"/>
    <n v="0"/>
    <n v="0"/>
    <s v=""/>
    <n v="1"/>
    <n v="1"/>
    <n v="2"/>
    <x v="11"/>
    <n v="0"/>
    <x v="0"/>
    <n v="5.28"/>
  </r>
  <r>
    <s v="T2096"/>
    <x v="1"/>
    <d v="2026-09-18T00:00:00"/>
    <d v="1899-12-30T05:15:00"/>
    <n v="73"/>
    <n v="84"/>
    <n v="4"/>
    <s v="Airport Express"/>
    <n v="32"/>
    <n v="14"/>
    <x v="1"/>
    <x v="3"/>
    <n v="0"/>
    <n v="0"/>
    <s v=""/>
    <n v="1"/>
    <n v="1"/>
    <n v="3"/>
    <x v="16"/>
    <n v="0"/>
    <x v="0"/>
    <n v="2.2799999999999998"/>
  </r>
  <r>
    <s v="T2097"/>
    <x v="1"/>
    <d v="2026-09-14T00:00:00"/>
    <d v="1899-12-30T05:15:00"/>
    <n v="73"/>
    <n v="69"/>
    <n v="4"/>
    <s v="Airport Express"/>
    <n v="32"/>
    <n v="14"/>
    <x v="1"/>
    <x v="5"/>
    <n v="0"/>
    <n v="0"/>
    <s v=""/>
    <n v="1"/>
    <n v="1"/>
    <n v="6"/>
    <x v="16"/>
    <n v="0"/>
    <x v="0"/>
    <n v="2.2799999999999998"/>
  </r>
  <r>
    <s v="T2098"/>
    <x v="0"/>
    <d v="2026-09-15T00:00:00"/>
    <d v="1899-12-30T17:45:00"/>
    <n v="137"/>
    <n v="131"/>
    <n v="7"/>
    <s v="Tech Park Shuttle"/>
    <n v="15"/>
    <n v="16"/>
    <x v="0"/>
    <x v="0"/>
    <n v="0"/>
    <n v="0"/>
    <s v=""/>
    <n v="1"/>
    <n v="1"/>
    <n v="28"/>
    <x v="1"/>
    <n v="1"/>
    <x v="0"/>
    <n v="9.1300000000000008"/>
  </r>
  <r>
    <s v="T2099"/>
    <x v="1"/>
    <d v="2026-09-06T00:00:00"/>
    <d v="1899-12-30T14:30:00"/>
    <n v="134"/>
    <n v="134"/>
    <n v="4"/>
    <s v="Airport Express"/>
    <n v="32"/>
    <n v="14"/>
    <x v="1"/>
    <x v="2"/>
    <n v="1"/>
    <n v="0"/>
    <s v=""/>
    <n v="1"/>
    <n v="1"/>
    <n v="3"/>
    <x v="7"/>
    <n v="0"/>
    <x v="0"/>
    <n v="4.1900000000000004"/>
  </r>
  <r>
    <s v="T2100"/>
    <x v="0"/>
    <d v="2026-09-11T00:00:00"/>
    <d v="1899-12-30T15:00:00"/>
    <n v="108"/>
    <n v="103"/>
    <n v="4"/>
    <s v="Tech Park Shuttle"/>
    <n v="15"/>
    <n v="16"/>
    <x v="0"/>
    <x v="3"/>
    <n v="0"/>
    <n v="0"/>
    <s v=""/>
    <n v="1"/>
    <n v="1"/>
    <n v="4"/>
    <x v="17"/>
    <n v="0"/>
    <x v="0"/>
    <n v="7.2"/>
  </r>
  <r>
    <s v="T2101"/>
    <x v="0"/>
    <d v="2026-09-13T00:00:00"/>
    <d v="1899-12-30T13:00:00"/>
    <n v="147"/>
    <n v="137"/>
    <n v="5"/>
    <s v="Tech Park Shuttle"/>
    <n v="15"/>
    <n v="16"/>
    <x v="0"/>
    <x v="2"/>
    <n v="1"/>
    <n v="0"/>
    <s v=""/>
    <n v="1"/>
    <n v="1"/>
    <n v="11"/>
    <x v="5"/>
    <n v="0"/>
    <x v="0"/>
    <n v="9.8000000000000007"/>
  </r>
  <r>
    <s v="T2102"/>
    <x v="4"/>
    <d v="2026-09-25T00:00:00"/>
    <d v="1899-12-30T05:00:00"/>
    <n v="83"/>
    <n v="75"/>
    <n v="4"/>
    <s v="Suburban Link"/>
    <n v="24.8"/>
    <n v="28"/>
    <x v="4"/>
    <x v="3"/>
    <n v="0"/>
    <n v="0"/>
    <s v=""/>
    <n v="1"/>
    <n v="1"/>
    <n v="1"/>
    <x v="16"/>
    <n v="0"/>
    <x v="0"/>
    <n v="3.35"/>
  </r>
  <r>
    <s v="T2103"/>
    <x v="1"/>
    <d v="2026-09-01T00:00:00"/>
    <d v="1899-12-30T06:45:00"/>
    <n v="58"/>
    <n v="62"/>
    <n v="5"/>
    <s v="Airport Express"/>
    <n v="32"/>
    <n v="14"/>
    <x v="1"/>
    <x v="0"/>
    <n v="0"/>
    <n v="0"/>
    <s v=""/>
    <n v="1"/>
    <n v="1"/>
    <n v="4"/>
    <x v="12"/>
    <n v="0"/>
    <x v="0"/>
    <n v="1.81"/>
  </r>
  <r>
    <s v="T2104"/>
    <x v="0"/>
    <d v="2026-09-28T00:00:00"/>
    <d v="1899-12-30T17:00:00"/>
    <n v="102"/>
    <n v="90"/>
    <n v="5"/>
    <s v="Tech Park Shuttle"/>
    <n v="15"/>
    <n v="16"/>
    <x v="0"/>
    <x v="5"/>
    <n v="0"/>
    <n v="0"/>
    <s v=""/>
    <n v="1"/>
    <n v="1"/>
    <n v="1"/>
    <x v="1"/>
    <n v="1"/>
    <x v="0"/>
    <n v="6.8"/>
  </r>
  <r>
    <s v="T2105"/>
    <x v="1"/>
    <d v="2026-09-06T00:00:00"/>
    <d v="1899-12-30T08:00:00"/>
    <n v="112"/>
    <n v="113"/>
    <n v="5"/>
    <s v="Airport Express"/>
    <n v="32"/>
    <n v="14"/>
    <x v="1"/>
    <x v="2"/>
    <n v="1"/>
    <n v="0"/>
    <s v=""/>
    <n v="1"/>
    <n v="1"/>
    <n v="2"/>
    <x v="13"/>
    <n v="1"/>
    <x v="0"/>
    <n v="3.5"/>
  </r>
  <r>
    <s v="T2106"/>
    <x v="2"/>
    <d v="2026-09-09T00:00:00"/>
    <d v="1899-12-30T15:45:00"/>
    <n v="62"/>
    <n v="59"/>
    <n v="3"/>
    <s v="Downtown Loop"/>
    <n v="12.2"/>
    <n v="18"/>
    <x v="2"/>
    <x v="6"/>
    <n v="0"/>
    <n v="0"/>
    <s v=""/>
    <n v="1"/>
    <n v="1"/>
    <n v="6"/>
    <x v="17"/>
    <n v="0"/>
    <x v="0"/>
    <n v="5.08"/>
  </r>
  <r>
    <s v="T2107"/>
    <x v="3"/>
    <d v="2026-09-08T00:00:00"/>
    <d v="1899-12-30T07:45:00"/>
    <n v="52"/>
    <n v="50"/>
    <n v="3"/>
    <s v="Corridor North"/>
    <n v="18.5"/>
    <n v="22"/>
    <x v="3"/>
    <x v="0"/>
    <n v="0"/>
    <n v="0"/>
    <s v=""/>
    <n v="1"/>
    <n v="1"/>
    <n v="2"/>
    <x v="6"/>
    <n v="0"/>
    <x v="0"/>
    <n v="2.81"/>
  </r>
  <r>
    <s v="T2108"/>
    <x v="3"/>
    <d v="2026-09-11T00:00:00"/>
    <d v="1899-12-30T17:45:00"/>
    <n v="88"/>
    <n v="81"/>
    <n v="5"/>
    <s v="Corridor North"/>
    <n v="18.5"/>
    <n v="22"/>
    <x v="3"/>
    <x v="3"/>
    <n v="0"/>
    <n v="0"/>
    <s v=""/>
    <n v="1"/>
    <n v="1"/>
    <n v="8"/>
    <x v="1"/>
    <n v="1"/>
    <x v="0"/>
    <n v="4.76"/>
  </r>
  <r>
    <s v="T2109"/>
    <x v="4"/>
    <d v="2026-09-22T00:00:00"/>
    <d v="1899-12-30T11:30:00"/>
    <n v="94"/>
    <n v="96"/>
    <n v="5"/>
    <s v="Suburban Link"/>
    <n v="24.8"/>
    <n v="28"/>
    <x v="4"/>
    <x v="0"/>
    <n v="0"/>
    <n v="0"/>
    <s v=""/>
    <n v="1"/>
    <n v="1"/>
    <n v="15"/>
    <x v="9"/>
    <n v="0"/>
    <x v="0"/>
    <n v="3.79"/>
  </r>
  <r>
    <s v="T2110"/>
    <x v="1"/>
    <d v="2026-09-19T00:00:00"/>
    <d v="1899-12-30T11:15:00"/>
    <n v="147"/>
    <n v="141"/>
    <n v="5"/>
    <s v="Airport Express"/>
    <n v="32"/>
    <n v="14"/>
    <x v="1"/>
    <x v="1"/>
    <n v="1"/>
    <n v="1"/>
    <s v=""/>
    <n v="1"/>
    <n v="1"/>
    <n v="2"/>
    <x v="9"/>
    <n v="0"/>
    <x v="0"/>
    <n v="4.59"/>
  </r>
  <r>
    <s v="T2111"/>
    <x v="1"/>
    <d v="2026-09-24T00:00:00"/>
    <d v="1899-12-30T12:00:00"/>
    <n v="117"/>
    <n v="119"/>
    <n v="7"/>
    <s v="Airport Express"/>
    <n v="32"/>
    <n v="14"/>
    <x v="1"/>
    <x v="4"/>
    <n v="0"/>
    <n v="0"/>
    <s v=""/>
    <n v="1"/>
    <n v="1"/>
    <n v="3"/>
    <x v="14"/>
    <n v="0"/>
    <x v="0"/>
    <n v="3.66"/>
  </r>
  <r>
    <s v="T2112"/>
    <x v="0"/>
    <d v="2026-09-09T00:00:00"/>
    <d v="1899-12-30T18:45:00"/>
    <n v="73"/>
    <n v="76"/>
    <n v="4"/>
    <s v="Tech Park Shuttle"/>
    <n v="15"/>
    <n v="16"/>
    <x v="0"/>
    <x v="6"/>
    <n v="0"/>
    <n v="0"/>
    <s v=""/>
    <n v="1"/>
    <n v="1"/>
    <n v="1"/>
    <x v="0"/>
    <n v="1"/>
    <x v="0"/>
    <n v="4.87"/>
  </r>
  <r>
    <s v="T2113"/>
    <x v="3"/>
    <d v="2026-09-17T00:00:00"/>
    <d v="1899-12-30T14:45:00"/>
    <n v="98"/>
    <n v="97"/>
    <n v="6"/>
    <s v="Corridor North"/>
    <n v="18.5"/>
    <n v="22"/>
    <x v="3"/>
    <x v="4"/>
    <n v="0"/>
    <n v="0"/>
    <s v=""/>
    <n v="1"/>
    <n v="1"/>
    <n v="8"/>
    <x v="7"/>
    <n v="0"/>
    <x v="0"/>
    <n v="5.3"/>
  </r>
  <r>
    <s v="T2114"/>
    <x v="0"/>
    <d v="2026-09-12T00:00:00"/>
    <d v="1899-12-30T19:15:00"/>
    <n v="56"/>
    <n v="55"/>
    <n v="3"/>
    <s v="Tech Park Shuttle"/>
    <n v="15"/>
    <n v="16"/>
    <x v="0"/>
    <x v="1"/>
    <n v="1"/>
    <n v="0"/>
    <s v="Tech Expo"/>
    <n v="1"/>
    <n v="1"/>
    <n v="10"/>
    <x v="8"/>
    <n v="1"/>
    <x v="1"/>
    <n v="3.73"/>
  </r>
  <r>
    <s v="T2115"/>
    <x v="2"/>
    <d v="2026-09-25T00:00:00"/>
    <d v="1899-12-30T17:00:00"/>
    <n v="67"/>
    <n v="63"/>
    <n v="4"/>
    <s v="Downtown Loop"/>
    <n v="12.2"/>
    <n v="18"/>
    <x v="2"/>
    <x v="3"/>
    <n v="0"/>
    <n v="0"/>
    <s v=""/>
    <n v="1"/>
    <n v="1"/>
    <n v="2"/>
    <x v="1"/>
    <n v="1"/>
    <x v="0"/>
    <n v="5.49"/>
  </r>
  <r>
    <s v="T2116"/>
    <x v="1"/>
    <d v="2026-09-14T00:00:00"/>
    <d v="1899-12-30T12:00:00"/>
    <n v="128"/>
    <n v="129"/>
    <n v="6"/>
    <s v="Airport Express"/>
    <n v="32"/>
    <n v="14"/>
    <x v="1"/>
    <x v="5"/>
    <n v="0"/>
    <n v="0"/>
    <s v=""/>
    <n v="1"/>
    <n v="1"/>
    <n v="8"/>
    <x v="14"/>
    <n v="0"/>
    <x v="0"/>
    <n v="4"/>
  </r>
  <r>
    <s v="T2117"/>
    <x v="3"/>
    <d v="2026-09-15T00:00:00"/>
    <d v="1899-12-30T20:30:00"/>
    <n v="105"/>
    <n v="97"/>
    <n v="4"/>
    <s v="Corridor North"/>
    <n v="18.5"/>
    <n v="22"/>
    <x v="3"/>
    <x v="0"/>
    <n v="0"/>
    <n v="0"/>
    <s v=""/>
    <n v="1"/>
    <n v="1"/>
    <n v="0"/>
    <x v="15"/>
    <n v="0"/>
    <x v="0"/>
    <n v="5.68"/>
  </r>
  <r>
    <s v="T2118"/>
    <x v="0"/>
    <d v="2026-09-16T00:00:00"/>
    <d v="1899-12-30T20:30:00"/>
    <n v="26"/>
    <n v="27"/>
    <n v="2"/>
    <s v="Tech Park Shuttle"/>
    <n v="15"/>
    <n v="16"/>
    <x v="0"/>
    <x v="6"/>
    <n v="0"/>
    <n v="0"/>
    <s v=""/>
    <n v="1"/>
    <n v="1"/>
    <n v="4"/>
    <x v="15"/>
    <n v="0"/>
    <x v="0"/>
    <n v="1.73"/>
  </r>
  <r>
    <s v="T2119"/>
    <x v="3"/>
    <d v="2026-09-22T00:00:00"/>
    <d v="1899-12-30T18:45:00"/>
    <n v="63"/>
    <n v="63"/>
    <n v="3"/>
    <s v="Corridor North"/>
    <n v="18.5"/>
    <n v="22"/>
    <x v="3"/>
    <x v="0"/>
    <n v="0"/>
    <n v="0"/>
    <s v=""/>
    <n v="1"/>
    <n v="1"/>
    <n v="10"/>
    <x v="0"/>
    <n v="1"/>
    <x v="0"/>
    <n v="3.41"/>
  </r>
  <r>
    <s v="T2120"/>
    <x v="3"/>
    <d v="2026-09-22T00:00:00"/>
    <d v="1899-12-30T18:00:00"/>
    <n v="95"/>
    <n v="93"/>
    <n v="4"/>
    <s v="Corridor North"/>
    <n v="18.5"/>
    <n v="22"/>
    <x v="3"/>
    <x v="0"/>
    <n v="0"/>
    <n v="0"/>
    <s v=""/>
    <n v="1"/>
    <n v="1"/>
    <n v="10"/>
    <x v="0"/>
    <n v="1"/>
    <x v="0"/>
    <n v="5.14"/>
  </r>
  <r>
    <s v="T2121"/>
    <x v="0"/>
    <d v="2026-09-28T00:00:00"/>
    <d v="1899-12-30T08:15:00"/>
    <n v="124"/>
    <n v="120"/>
    <n v="5"/>
    <s v="Tech Park Shuttle"/>
    <n v="15"/>
    <n v="16"/>
    <x v="0"/>
    <x v="5"/>
    <n v="0"/>
    <n v="0"/>
    <s v=""/>
    <n v="1"/>
    <n v="1"/>
    <n v="13"/>
    <x v="13"/>
    <n v="1"/>
    <x v="0"/>
    <n v="8.27"/>
  </r>
  <r>
    <s v="T2122"/>
    <x v="4"/>
    <d v="2026-09-20T00:00:00"/>
    <d v="1899-12-30T19:30:00"/>
    <n v="175"/>
    <n v="176"/>
    <n v="5"/>
    <s v="Suburban Link"/>
    <n v="24.8"/>
    <n v="28"/>
    <x v="4"/>
    <x v="2"/>
    <n v="1"/>
    <n v="0"/>
    <s v="Marathon"/>
    <n v="1"/>
    <n v="1"/>
    <n v="2"/>
    <x v="8"/>
    <n v="1"/>
    <x v="1"/>
    <n v="7.06"/>
  </r>
  <r>
    <s v="T2123"/>
    <x v="3"/>
    <d v="2026-09-01T00:00:00"/>
    <d v="1899-12-30T09:00:00"/>
    <n v="59"/>
    <n v="49"/>
    <n v="3"/>
    <s v="Corridor North"/>
    <n v="18.5"/>
    <n v="22"/>
    <x v="3"/>
    <x v="0"/>
    <n v="0"/>
    <n v="0"/>
    <s v=""/>
    <n v="1"/>
    <n v="1"/>
    <n v="2"/>
    <x v="4"/>
    <n v="1"/>
    <x v="0"/>
    <n v="3.19"/>
  </r>
  <r>
    <s v="T2124"/>
    <x v="4"/>
    <d v="2026-09-10T00:00:00"/>
    <d v="1899-12-30T07:30:00"/>
    <n v="113"/>
    <n v="114"/>
    <n v="5"/>
    <s v="Suburban Link"/>
    <n v="24.8"/>
    <n v="28"/>
    <x v="4"/>
    <x v="4"/>
    <n v="0"/>
    <n v="0"/>
    <s v=""/>
    <n v="1"/>
    <n v="1"/>
    <n v="14"/>
    <x v="6"/>
    <n v="0"/>
    <x v="0"/>
    <n v="4.5599999999999996"/>
  </r>
  <r>
    <s v="T2125"/>
    <x v="1"/>
    <d v="2026-09-08T00:00:00"/>
    <d v="1899-12-30T12:30:00"/>
    <n v="99"/>
    <n v="90"/>
    <n v="5"/>
    <s v="Airport Express"/>
    <n v="32"/>
    <n v="14"/>
    <x v="1"/>
    <x v="0"/>
    <n v="0"/>
    <n v="0"/>
    <s v=""/>
    <n v="1"/>
    <n v="1"/>
    <n v="17"/>
    <x v="14"/>
    <n v="0"/>
    <x v="0"/>
    <n v="3.09"/>
  </r>
  <r>
    <s v="T2126"/>
    <x v="3"/>
    <d v="2026-09-18T00:00:00"/>
    <d v="1899-12-30T08:15:00"/>
    <n v="152"/>
    <n v="147"/>
    <n v="6"/>
    <s v="Corridor North"/>
    <n v="18.5"/>
    <n v="22"/>
    <x v="3"/>
    <x v="3"/>
    <n v="0"/>
    <n v="0"/>
    <s v=""/>
    <n v="1"/>
    <n v="1"/>
    <n v="4"/>
    <x v="13"/>
    <n v="1"/>
    <x v="0"/>
    <n v="8.2200000000000006"/>
  </r>
  <r>
    <s v="T2127"/>
    <x v="3"/>
    <d v="2026-09-28T00:00:00"/>
    <d v="1899-12-30T14:45:00"/>
    <n v="98"/>
    <n v="90"/>
    <n v="4"/>
    <s v="Corridor North"/>
    <n v="18.5"/>
    <n v="22"/>
    <x v="3"/>
    <x v="5"/>
    <n v="0"/>
    <n v="0"/>
    <s v=""/>
    <n v="1"/>
    <n v="1"/>
    <n v="1"/>
    <x v="7"/>
    <n v="0"/>
    <x v="0"/>
    <n v="5.3"/>
  </r>
  <r>
    <s v="T2128"/>
    <x v="2"/>
    <d v="2026-09-01T00:00:00"/>
    <d v="1899-12-30T07:15:00"/>
    <n v="145"/>
    <n v="138"/>
    <n v="7"/>
    <s v="Downtown Loop"/>
    <n v="12.2"/>
    <n v="18"/>
    <x v="2"/>
    <x v="0"/>
    <n v="0"/>
    <n v="0"/>
    <s v=""/>
    <n v="1"/>
    <n v="1"/>
    <n v="4"/>
    <x v="6"/>
    <n v="0"/>
    <x v="0"/>
    <n v="11.89"/>
  </r>
  <r>
    <s v="T2129"/>
    <x v="1"/>
    <d v="2026-09-02T00:00:00"/>
    <d v="1899-12-30T21:30:00"/>
    <n v="86"/>
    <n v="84"/>
    <n v="4"/>
    <s v="Airport Express"/>
    <n v="32"/>
    <n v="14"/>
    <x v="1"/>
    <x v="6"/>
    <n v="0"/>
    <n v="0"/>
    <s v=""/>
    <n v="1"/>
    <n v="1"/>
    <n v="6"/>
    <x v="10"/>
    <n v="0"/>
    <x v="0"/>
    <n v="2.69"/>
  </r>
  <r>
    <s v="T2130"/>
    <x v="3"/>
    <d v="2026-09-01T00:00:00"/>
    <d v="1899-12-30T17:00:00"/>
    <n v="38"/>
    <n v="41"/>
    <n v="5"/>
    <s v="Corridor North"/>
    <n v="18.5"/>
    <n v="22"/>
    <x v="3"/>
    <x v="0"/>
    <n v="0"/>
    <n v="0"/>
    <s v=""/>
    <n v="1"/>
    <n v="1"/>
    <n v="0"/>
    <x v="1"/>
    <n v="1"/>
    <x v="0"/>
    <n v="2.0499999999999998"/>
  </r>
  <r>
    <s v="T2131"/>
    <x v="1"/>
    <d v="2026-09-01T00:00:00"/>
    <d v="1899-12-30T13:00:00"/>
    <n v="155"/>
    <n v="145"/>
    <n v="5"/>
    <s v="Airport Express"/>
    <n v="32"/>
    <n v="14"/>
    <x v="1"/>
    <x v="0"/>
    <n v="0"/>
    <n v="0"/>
    <s v=""/>
    <n v="1"/>
    <n v="1"/>
    <n v="4"/>
    <x v="5"/>
    <n v="0"/>
    <x v="0"/>
    <n v="4.84"/>
  </r>
  <r>
    <s v="T2132"/>
    <x v="3"/>
    <d v="2026-09-09T00:00:00"/>
    <d v="1899-12-30T10:00:00"/>
    <n v="98"/>
    <n v="93"/>
    <n v="4"/>
    <s v="Corridor North"/>
    <n v="18.5"/>
    <n v="22"/>
    <x v="3"/>
    <x v="6"/>
    <n v="0"/>
    <n v="0"/>
    <s v=""/>
    <n v="1"/>
    <n v="1"/>
    <n v="4"/>
    <x v="3"/>
    <n v="1"/>
    <x v="0"/>
    <n v="5.3"/>
  </r>
  <r>
    <s v="T2133"/>
    <x v="1"/>
    <d v="2026-09-13T00:00:00"/>
    <d v="1899-12-30T14:45:00"/>
    <n v="58"/>
    <n v="50"/>
    <n v="3"/>
    <s v="Airport Express"/>
    <n v="32"/>
    <n v="14"/>
    <x v="1"/>
    <x v="2"/>
    <n v="1"/>
    <n v="0"/>
    <s v=""/>
    <n v="1"/>
    <n v="1"/>
    <n v="7"/>
    <x v="7"/>
    <n v="0"/>
    <x v="0"/>
    <n v="1.81"/>
  </r>
  <r>
    <s v="T2134"/>
    <x v="3"/>
    <d v="2026-09-30T00:00:00"/>
    <d v="1899-12-30T11:30:00"/>
    <n v="58"/>
    <n v="60"/>
    <n v="4"/>
    <s v="Corridor North"/>
    <n v="18.5"/>
    <n v="22"/>
    <x v="3"/>
    <x v="6"/>
    <n v="0"/>
    <n v="0"/>
    <s v=""/>
    <n v="1"/>
    <n v="1"/>
    <n v="7"/>
    <x v="9"/>
    <n v="0"/>
    <x v="0"/>
    <n v="3.14"/>
  </r>
  <r>
    <s v="T2135"/>
    <x v="2"/>
    <d v="2026-09-01T00:00:00"/>
    <d v="1899-12-30T10:00:00"/>
    <n v="68"/>
    <n v="72"/>
    <n v="3"/>
    <s v="Downtown Loop"/>
    <n v="12.2"/>
    <n v="18"/>
    <x v="2"/>
    <x v="0"/>
    <n v="0"/>
    <n v="0"/>
    <s v=""/>
    <n v="1"/>
    <n v="1"/>
    <n v="6"/>
    <x v="3"/>
    <n v="1"/>
    <x v="0"/>
    <n v="5.57"/>
  </r>
  <r>
    <s v="T2136"/>
    <x v="3"/>
    <d v="2026-09-13T00:00:00"/>
    <d v="1899-12-30T07:45:00"/>
    <n v="123"/>
    <n v="116"/>
    <n v="5"/>
    <s v="Corridor North"/>
    <n v="18.5"/>
    <n v="22"/>
    <x v="3"/>
    <x v="2"/>
    <n v="1"/>
    <n v="0"/>
    <s v=""/>
    <n v="1"/>
    <n v="1"/>
    <n v="1"/>
    <x v="6"/>
    <n v="0"/>
    <x v="0"/>
    <n v="6.65"/>
  </r>
  <r>
    <s v="T2137"/>
    <x v="0"/>
    <d v="2026-09-20T00:00:00"/>
    <d v="1899-12-30T19:45:00"/>
    <n v="114"/>
    <n v="118"/>
    <n v="6"/>
    <s v="Tech Park Shuttle"/>
    <n v="15"/>
    <n v="16"/>
    <x v="0"/>
    <x v="2"/>
    <n v="1"/>
    <n v="0"/>
    <s v="Marathon"/>
    <n v="1"/>
    <n v="1"/>
    <n v="0"/>
    <x v="8"/>
    <n v="1"/>
    <x v="1"/>
    <n v="7.6"/>
  </r>
  <r>
    <s v="T2138"/>
    <x v="1"/>
    <d v="2026-09-26T00:00:00"/>
    <d v="1899-12-30T16:15:00"/>
    <n v="61"/>
    <n v="58"/>
    <n v="4"/>
    <s v="Airport Express"/>
    <n v="32"/>
    <n v="14"/>
    <x v="1"/>
    <x v="1"/>
    <n v="1"/>
    <n v="0"/>
    <s v=""/>
    <n v="1"/>
    <n v="1"/>
    <n v="6"/>
    <x v="2"/>
    <n v="0"/>
    <x v="0"/>
    <n v="1.91"/>
  </r>
  <r>
    <s v="T2139"/>
    <x v="0"/>
    <d v="2026-09-22T00:00:00"/>
    <d v="1899-12-30T08:30:00"/>
    <n v="201"/>
    <n v="193"/>
    <n v="6"/>
    <s v="Tech Park Shuttle"/>
    <n v="15"/>
    <n v="16"/>
    <x v="0"/>
    <x v="0"/>
    <n v="0"/>
    <n v="0"/>
    <s v=""/>
    <n v="1"/>
    <n v="1"/>
    <n v="4"/>
    <x v="13"/>
    <n v="1"/>
    <x v="0"/>
    <n v="13.4"/>
  </r>
  <r>
    <s v="T2140"/>
    <x v="4"/>
    <d v="2026-09-07T00:00:00"/>
    <d v="1899-12-30T13:00:00"/>
    <n v="116"/>
    <n v="114"/>
    <n v="3"/>
    <s v="Suburban Link"/>
    <n v="24.8"/>
    <n v="28"/>
    <x v="4"/>
    <x v="5"/>
    <n v="0"/>
    <n v="0"/>
    <s v=""/>
    <n v="1"/>
    <n v="1"/>
    <n v="1"/>
    <x v="5"/>
    <n v="0"/>
    <x v="0"/>
    <n v="4.68"/>
  </r>
  <r>
    <s v="T2141"/>
    <x v="3"/>
    <d v="2026-09-02T00:00:00"/>
    <d v="1899-12-30T17:30:00"/>
    <n v="159"/>
    <n v="141"/>
    <n v="4"/>
    <s v="Corridor North"/>
    <n v="18.5"/>
    <n v="22"/>
    <x v="3"/>
    <x v="6"/>
    <n v="0"/>
    <n v="0"/>
    <s v=""/>
    <n v="1"/>
    <n v="1"/>
    <n v="0"/>
    <x v="1"/>
    <n v="1"/>
    <x v="0"/>
    <n v="8.59"/>
  </r>
  <r>
    <s v="T2142"/>
    <x v="0"/>
    <d v="2026-09-06T00:00:00"/>
    <d v="1899-12-30T22:15:00"/>
    <n v="79"/>
    <n v="76"/>
    <n v="4"/>
    <s v="Tech Park Shuttle"/>
    <n v="15"/>
    <n v="16"/>
    <x v="0"/>
    <x v="2"/>
    <n v="1"/>
    <n v="0"/>
    <s v=""/>
    <n v="1"/>
    <n v="1"/>
    <n v="10"/>
    <x v="11"/>
    <n v="0"/>
    <x v="0"/>
    <n v="5.27"/>
  </r>
  <r>
    <s v="T2143"/>
    <x v="3"/>
    <d v="2026-09-07T00:00:00"/>
    <d v="1899-12-30T09:00:00"/>
    <n v="115"/>
    <n v="109"/>
    <n v="5"/>
    <s v="Corridor North"/>
    <n v="18.5"/>
    <n v="22"/>
    <x v="3"/>
    <x v="5"/>
    <n v="0"/>
    <n v="0"/>
    <s v=""/>
    <n v="1"/>
    <n v="1"/>
    <n v="17"/>
    <x v="4"/>
    <n v="1"/>
    <x v="0"/>
    <n v="6.22"/>
  </r>
  <r>
    <s v="T2144"/>
    <x v="1"/>
    <d v="2026-09-26T00:00:00"/>
    <d v="1899-12-30T20:30:00"/>
    <n v="178"/>
    <n v="178"/>
    <n v="7"/>
    <s v="Airport Express"/>
    <n v="32"/>
    <n v="14"/>
    <x v="1"/>
    <x v="1"/>
    <n v="1"/>
    <n v="0"/>
    <s v=""/>
    <n v="1"/>
    <n v="1"/>
    <n v="4"/>
    <x v="15"/>
    <n v="0"/>
    <x v="0"/>
    <n v="5.56"/>
  </r>
  <r>
    <s v="T2145"/>
    <x v="1"/>
    <d v="2026-09-14T00:00:00"/>
    <d v="1899-12-30T18:00:00"/>
    <n v="64"/>
    <n v="63"/>
    <n v="2"/>
    <s v="Airport Express"/>
    <n v="32"/>
    <n v="14"/>
    <x v="1"/>
    <x v="5"/>
    <n v="0"/>
    <n v="0"/>
    <s v=""/>
    <n v="1"/>
    <n v="1"/>
    <n v="7"/>
    <x v="0"/>
    <n v="1"/>
    <x v="0"/>
    <n v="2"/>
  </r>
  <r>
    <s v="T2146"/>
    <x v="3"/>
    <d v="2026-09-26T00:00:00"/>
    <d v="1899-12-30T20:30:00"/>
    <n v="55"/>
    <n v="57"/>
    <n v="4"/>
    <s v="Corridor North"/>
    <n v="18.5"/>
    <n v="22"/>
    <x v="3"/>
    <x v="1"/>
    <n v="1"/>
    <n v="0"/>
    <s v=""/>
    <n v="1"/>
    <n v="1"/>
    <n v="7"/>
    <x v="15"/>
    <n v="0"/>
    <x v="0"/>
    <n v="2.97"/>
  </r>
  <r>
    <s v="T2147"/>
    <x v="3"/>
    <d v="2026-09-18T00:00:00"/>
    <d v="1899-12-30T19:15:00"/>
    <n v="178"/>
    <n v="178"/>
    <n v="6"/>
    <s v="Corridor North"/>
    <n v="18.5"/>
    <n v="22"/>
    <x v="3"/>
    <x v="3"/>
    <n v="0"/>
    <n v="0"/>
    <s v=""/>
    <n v="1"/>
    <n v="1"/>
    <n v="3"/>
    <x v="8"/>
    <n v="1"/>
    <x v="0"/>
    <n v="9.6199999999999992"/>
  </r>
  <r>
    <s v="T2148"/>
    <x v="2"/>
    <d v="2026-09-15T00:00:00"/>
    <d v="1899-12-30T08:30:00"/>
    <n v="182"/>
    <n v="169"/>
    <n v="7"/>
    <s v="Downtown Loop"/>
    <n v="12.2"/>
    <n v="18"/>
    <x v="2"/>
    <x v="0"/>
    <n v="0"/>
    <n v="0"/>
    <s v=""/>
    <n v="1"/>
    <n v="1"/>
    <n v="3"/>
    <x v="13"/>
    <n v="1"/>
    <x v="0"/>
    <n v="14.92"/>
  </r>
  <r>
    <s v="T2149"/>
    <x v="4"/>
    <d v="2026-09-02T00:00:00"/>
    <d v="1899-12-30T20:45:00"/>
    <n v="180"/>
    <n v="169"/>
    <n v="7"/>
    <s v="Suburban Link"/>
    <n v="24.8"/>
    <n v="28"/>
    <x v="4"/>
    <x v="6"/>
    <n v="0"/>
    <n v="0"/>
    <s v=""/>
    <n v="1"/>
    <n v="1"/>
    <n v="3"/>
    <x v="15"/>
    <n v="0"/>
    <x v="0"/>
    <n v="7.26"/>
  </r>
  <r>
    <s v="T2150"/>
    <x v="1"/>
    <d v="2026-09-10T00:00:00"/>
    <d v="1899-12-30T12:00:00"/>
    <n v="164"/>
    <n v="156"/>
    <n v="6"/>
    <s v="Airport Express"/>
    <n v="32"/>
    <n v="14"/>
    <x v="1"/>
    <x v="4"/>
    <n v="0"/>
    <n v="0"/>
    <s v=""/>
    <n v="1"/>
    <n v="1"/>
    <n v="2"/>
    <x v="14"/>
    <n v="0"/>
    <x v="0"/>
    <n v="5.12"/>
  </r>
  <r>
    <s v="T2151"/>
    <x v="3"/>
    <d v="2026-09-23T00:00:00"/>
    <d v="1899-12-30T20:30:00"/>
    <n v="109"/>
    <n v="106"/>
    <n v="4"/>
    <s v="Corridor North"/>
    <n v="18.5"/>
    <n v="22"/>
    <x v="3"/>
    <x v="6"/>
    <n v="0"/>
    <n v="0"/>
    <s v=""/>
    <n v="1"/>
    <n v="1"/>
    <n v="5"/>
    <x v="15"/>
    <n v="0"/>
    <x v="0"/>
    <n v="5.89"/>
  </r>
  <r>
    <s v="T2152"/>
    <x v="3"/>
    <d v="2026-09-12T00:00:00"/>
    <d v="1899-12-30T14:15:00"/>
    <n v="26"/>
    <n v="23"/>
    <n v="3"/>
    <s v="Corridor North"/>
    <n v="18.5"/>
    <n v="22"/>
    <x v="3"/>
    <x v="1"/>
    <n v="1"/>
    <n v="0"/>
    <s v="Tech Expo"/>
    <n v="1"/>
    <n v="1"/>
    <n v="7"/>
    <x v="7"/>
    <n v="0"/>
    <x v="1"/>
    <n v="1.41"/>
  </r>
  <r>
    <s v="T2153"/>
    <x v="1"/>
    <d v="2026-09-17T00:00:00"/>
    <d v="1899-12-30T06:30:00"/>
    <n v="224"/>
    <n v="209"/>
    <n v="5"/>
    <s v="Airport Express"/>
    <n v="32"/>
    <n v="14"/>
    <x v="1"/>
    <x v="4"/>
    <n v="0"/>
    <n v="0"/>
    <s v=""/>
    <n v="1"/>
    <n v="1"/>
    <n v="4"/>
    <x v="12"/>
    <n v="0"/>
    <x v="0"/>
    <n v="7"/>
  </r>
  <r>
    <s v="T2154"/>
    <x v="1"/>
    <d v="2026-09-08T00:00:00"/>
    <d v="1899-12-30T13:00:00"/>
    <n v="125"/>
    <n v="114"/>
    <n v="5"/>
    <s v="Airport Express"/>
    <n v="32"/>
    <n v="14"/>
    <x v="1"/>
    <x v="0"/>
    <n v="0"/>
    <n v="0"/>
    <s v=""/>
    <n v="1"/>
    <n v="1"/>
    <n v="3"/>
    <x v="5"/>
    <n v="0"/>
    <x v="0"/>
    <n v="3.91"/>
  </r>
  <r>
    <s v="T2155"/>
    <x v="2"/>
    <d v="2026-09-11T00:00:00"/>
    <d v="1899-12-30T15:45:00"/>
    <n v="110"/>
    <n v="113"/>
    <n v="4"/>
    <s v="Downtown Loop"/>
    <n v="12.2"/>
    <n v="18"/>
    <x v="2"/>
    <x v="3"/>
    <n v="0"/>
    <n v="0"/>
    <s v=""/>
    <n v="1"/>
    <n v="1"/>
    <n v="4"/>
    <x v="17"/>
    <n v="0"/>
    <x v="0"/>
    <n v="9.02"/>
  </r>
  <r>
    <s v="T2156"/>
    <x v="4"/>
    <d v="2026-09-29T00:00:00"/>
    <d v="1899-12-30T14:15:00"/>
    <n v="115"/>
    <n v="122"/>
    <n v="3"/>
    <s v="Suburban Link"/>
    <n v="24.8"/>
    <n v="28"/>
    <x v="4"/>
    <x v="0"/>
    <n v="0"/>
    <n v="0"/>
    <s v=""/>
    <n v="1"/>
    <n v="1"/>
    <n v="10"/>
    <x v="7"/>
    <n v="0"/>
    <x v="0"/>
    <n v="4.6399999999999997"/>
  </r>
  <r>
    <s v="T2157"/>
    <x v="2"/>
    <d v="2026-09-03T00:00:00"/>
    <d v="1899-12-30T21:45:00"/>
    <n v="114"/>
    <n v="120"/>
    <n v="6"/>
    <s v="Downtown Loop"/>
    <n v="12.2"/>
    <n v="18"/>
    <x v="2"/>
    <x v="4"/>
    <n v="0"/>
    <n v="0"/>
    <s v=""/>
    <n v="1"/>
    <n v="1"/>
    <n v="4"/>
    <x v="10"/>
    <n v="0"/>
    <x v="0"/>
    <n v="9.34"/>
  </r>
  <r>
    <s v="T2158"/>
    <x v="3"/>
    <d v="2026-09-27T00:00:00"/>
    <d v="1899-12-30T20:45:00"/>
    <n v="60"/>
    <n v="65"/>
    <n v="3"/>
    <s v="Corridor North"/>
    <n v="18.5"/>
    <n v="22"/>
    <x v="3"/>
    <x v="2"/>
    <n v="1"/>
    <n v="0"/>
    <s v="Music Fest"/>
    <n v="1"/>
    <n v="1"/>
    <n v="0"/>
    <x v="15"/>
    <n v="0"/>
    <x v="1"/>
    <n v="3.24"/>
  </r>
  <r>
    <s v="T2159"/>
    <x v="3"/>
    <d v="2026-09-06T00:00:00"/>
    <d v="1899-12-30T19:00:00"/>
    <n v="172"/>
    <n v="160"/>
    <n v="6"/>
    <s v="Corridor North"/>
    <n v="18.5"/>
    <n v="22"/>
    <x v="3"/>
    <x v="2"/>
    <n v="1"/>
    <n v="0"/>
    <s v=""/>
    <n v="1"/>
    <n v="1"/>
    <n v="3"/>
    <x v="8"/>
    <n v="1"/>
    <x v="0"/>
    <n v="9.3000000000000007"/>
  </r>
  <r>
    <s v="T2160"/>
    <x v="2"/>
    <d v="2026-09-09T00:00:00"/>
    <d v="1899-12-30T09:15:00"/>
    <n v="97"/>
    <n v="95"/>
    <n v="3"/>
    <s v="Downtown Loop"/>
    <n v="12.2"/>
    <n v="18"/>
    <x v="2"/>
    <x v="6"/>
    <n v="0"/>
    <n v="0"/>
    <s v=""/>
    <n v="1"/>
    <n v="1"/>
    <n v="8"/>
    <x v="4"/>
    <n v="1"/>
    <x v="0"/>
    <n v="7.95"/>
  </r>
  <r>
    <s v="T2161"/>
    <x v="4"/>
    <d v="2026-09-06T00:00:00"/>
    <d v="1899-12-30T21:00:00"/>
    <n v="46"/>
    <n v="49"/>
    <n v="3"/>
    <s v="Suburban Link"/>
    <n v="24.8"/>
    <n v="28"/>
    <x v="4"/>
    <x v="2"/>
    <n v="1"/>
    <n v="0"/>
    <s v=""/>
    <n v="1"/>
    <n v="1"/>
    <n v="4"/>
    <x v="10"/>
    <n v="0"/>
    <x v="0"/>
    <n v="1.85"/>
  </r>
  <r>
    <s v="T2162"/>
    <x v="2"/>
    <d v="2026-09-09T00:00:00"/>
    <d v="1899-12-30T08:00:00"/>
    <n v="200"/>
    <n v="204"/>
    <n v="7"/>
    <s v="Downtown Loop"/>
    <n v="12.2"/>
    <n v="18"/>
    <x v="2"/>
    <x v="6"/>
    <n v="0"/>
    <n v="0"/>
    <s v=""/>
    <n v="1"/>
    <n v="1"/>
    <n v="9"/>
    <x v="13"/>
    <n v="1"/>
    <x v="0"/>
    <n v="16.39"/>
  </r>
  <r>
    <s v="T2163"/>
    <x v="4"/>
    <d v="2026-09-07T00:00:00"/>
    <d v="1899-12-30T13:30:00"/>
    <n v="85"/>
    <n v="97"/>
    <n v="3"/>
    <s v="Suburban Link"/>
    <n v="24.8"/>
    <n v="28"/>
    <x v="4"/>
    <x v="5"/>
    <n v="0"/>
    <n v="0"/>
    <s v=""/>
    <n v="1"/>
    <n v="1"/>
    <n v="0"/>
    <x v="5"/>
    <n v="0"/>
    <x v="0"/>
    <n v="3.43"/>
  </r>
  <r>
    <s v="T2164"/>
    <x v="4"/>
    <d v="2026-09-09T00:00:00"/>
    <d v="1899-12-30T06:45:00"/>
    <n v="50"/>
    <n v="48"/>
    <n v="3"/>
    <s v="Suburban Link"/>
    <n v="24.8"/>
    <n v="28"/>
    <x v="4"/>
    <x v="6"/>
    <n v="0"/>
    <n v="0"/>
    <s v=""/>
    <n v="1"/>
    <n v="1"/>
    <n v="0"/>
    <x v="12"/>
    <n v="0"/>
    <x v="0"/>
    <n v="2.02"/>
  </r>
  <r>
    <s v="T2165"/>
    <x v="0"/>
    <d v="2026-09-18T00:00:00"/>
    <d v="1899-12-30T19:45:00"/>
    <n v="96"/>
    <n v="94"/>
    <n v="6"/>
    <s v="Tech Park Shuttle"/>
    <n v="15"/>
    <n v="16"/>
    <x v="0"/>
    <x v="3"/>
    <n v="0"/>
    <n v="0"/>
    <s v=""/>
    <n v="1"/>
    <n v="1"/>
    <n v="7"/>
    <x v="8"/>
    <n v="1"/>
    <x v="0"/>
    <n v="6.4"/>
  </r>
  <r>
    <s v="T2166"/>
    <x v="1"/>
    <d v="2026-09-12T00:00:00"/>
    <d v="1899-12-30T11:30:00"/>
    <n v="48"/>
    <n v="53"/>
    <n v="3"/>
    <s v="Airport Express"/>
    <n v="32"/>
    <n v="14"/>
    <x v="1"/>
    <x v="1"/>
    <n v="1"/>
    <n v="0"/>
    <s v="Tech Expo"/>
    <n v="1"/>
    <n v="1"/>
    <n v="7"/>
    <x v="9"/>
    <n v="0"/>
    <x v="1"/>
    <n v="1.5"/>
  </r>
  <r>
    <s v="T2167"/>
    <x v="4"/>
    <d v="2026-09-08T00:00:00"/>
    <d v="1899-12-30T10:00:00"/>
    <n v="149"/>
    <n v="149"/>
    <n v="5"/>
    <s v="Suburban Link"/>
    <n v="24.8"/>
    <n v="28"/>
    <x v="4"/>
    <x v="0"/>
    <n v="0"/>
    <n v="0"/>
    <s v=""/>
    <n v="1"/>
    <n v="1"/>
    <n v="10"/>
    <x v="3"/>
    <n v="1"/>
    <x v="0"/>
    <n v="6.01"/>
  </r>
  <r>
    <s v="T2168"/>
    <x v="1"/>
    <d v="2026-09-08T00:00:00"/>
    <d v="1899-12-30T19:30:00"/>
    <n v="155"/>
    <n v="148"/>
    <n v="6"/>
    <s v="Airport Express"/>
    <n v="32"/>
    <n v="14"/>
    <x v="1"/>
    <x v="0"/>
    <n v="0"/>
    <n v="0"/>
    <s v=""/>
    <n v="1"/>
    <n v="1"/>
    <n v="2"/>
    <x v="8"/>
    <n v="1"/>
    <x v="0"/>
    <n v="4.84"/>
  </r>
  <r>
    <s v="T2169"/>
    <x v="4"/>
    <d v="2026-09-18T00:00:00"/>
    <d v="1899-12-30T11:00:00"/>
    <n v="171"/>
    <n v="172"/>
    <n v="6"/>
    <s v="Suburban Link"/>
    <n v="24.8"/>
    <n v="28"/>
    <x v="4"/>
    <x v="3"/>
    <n v="0"/>
    <n v="0"/>
    <s v=""/>
    <n v="1"/>
    <n v="1"/>
    <n v="13"/>
    <x v="9"/>
    <n v="0"/>
    <x v="0"/>
    <n v="6.9"/>
  </r>
  <r>
    <s v="T2170"/>
    <x v="4"/>
    <d v="2026-09-28T00:00:00"/>
    <d v="1899-12-30T21:15:00"/>
    <n v="105"/>
    <n v="115"/>
    <n v="5"/>
    <s v="Suburban Link"/>
    <n v="24.8"/>
    <n v="28"/>
    <x v="4"/>
    <x v="5"/>
    <n v="0"/>
    <n v="0"/>
    <s v=""/>
    <n v="1"/>
    <n v="1"/>
    <n v="3"/>
    <x v="10"/>
    <n v="0"/>
    <x v="0"/>
    <n v="4.2300000000000004"/>
  </r>
  <r>
    <s v="T2171"/>
    <x v="4"/>
    <d v="2026-09-30T00:00:00"/>
    <d v="1899-12-30T13:00:00"/>
    <n v="80"/>
    <n v="81"/>
    <n v="3"/>
    <s v="Suburban Link"/>
    <n v="24.8"/>
    <n v="28"/>
    <x v="4"/>
    <x v="6"/>
    <n v="0"/>
    <n v="0"/>
    <s v=""/>
    <n v="1"/>
    <n v="1"/>
    <n v="4"/>
    <x v="5"/>
    <n v="0"/>
    <x v="0"/>
    <n v="3.23"/>
  </r>
  <r>
    <s v="T2172"/>
    <x v="0"/>
    <d v="2026-09-20T00:00:00"/>
    <d v="1899-12-30T13:00:00"/>
    <n v="69"/>
    <n v="72"/>
    <n v="3"/>
    <s v="Tech Park Shuttle"/>
    <n v="15"/>
    <n v="16"/>
    <x v="0"/>
    <x v="2"/>
    <n v="1"/>
    <n v="0"/>
    <s v="Marathon"/>
    <n v="1"/>
    <n v="1"/>
    <n v="11"/>
    <x v="5"/>
    <n v="0"/>
    <x v="1"/>
    <n v="4.5999999999999996"/>
  </r>
  <r>
    <s v="T2173"/>
    <x v="0"/>
    <d v="2026-09-30T00:00:00"/>
    <d v="1899-12-30T10:15:00"/>
    <n v="118"/>
    <n v="122"/>
    <n v="6"/>
    <s v="Tech Park Shuttle"/>
    <n v="15"/>
    <n v="16"/>
    <x v="0"/>
    <x v="6"/>
    <n v="0"/>
    <n v="0"/>
    <s v=""/>
    <n v="1"/>
    <n v="1"/>
    <n v="1"/>
    <x v="3"/>
    <n v="1"/>
    <x v="0"/>
    <n v="7.87"/>
  </r>
  <r>
    <s v="T2174"/>
    <x v="3"/>
    <d v="2026-09-15T00:00:00"/>
    <d v="1899-12-30T07:00:00"/>
    <n v="93"/>
    <n v="89"/>
    <n v="4"/>
    <s v="Corridor North"/>
    <n v="18.5"/>
    <n v="22"/>
    <x v="3"/>
    <x v="0"/>
    <n v="0"/>
    <n v="0"/>
    <s v=""/>
    <n v="1"/>
    <n v="1"/>
    <n v="1"/>
    <x v="6"/>
    <n v="0"/>
    <x v="0"/>
    <n v="5.03"/>
  </r>
  <r>
    <s v="T2175"/>
    <x v="0"/>
    <d v="2026-09-27T00:00:00"/>
    <d v="1899-12-30T21:45:00"/>
    <n v="69"/>
    <n v="65"/>
    <n v="4"/>
    <s v="Tech Park Shuttle"/>
    <n v="15"/>
    <n v="16"/>
    <x v="0"/>
    <x v="2"/>
    <n v="1"/>
    <n v="0"/>
    <s v="Music Fest"/>
    <n v="1"/>
    <n v="1"/>
    <n v="5"/>
    <x v="10"/>
    <n v="0"/>
    <x v="1"/>
    <n v="4.5999999999999996"/>
  </r>
  <r>
    <s v="T2176"/>
    <x v="1"/>
    <d v="2026-09-07T00:00:00"/>
    <d v="1899-12-30T20:30:00"/>
    <n v="123"/>
    <n v="122"/>
    <n v="6"/>
    <s v="Airport Express"/>
    <n v="32"/>
    <n v="14"/>
    <x v="1"/>
    <x v="5"/>
    <n v="0"/>
    <n v="0"/>
    <s v=""/>
    <n v="1"/>
    <n v="1"/>
    <n v="7"/>
    <x v="15"/>
    <n v="0"/>
    <x v="0"/>
    <n v="3.84"/>
  </r>
  <r>
    <s v="T2177"/>
    <x v="1"/>
    <d v="2026-09-11T00:00:00"/>
    <d v="1899-12-30T17:30:00"/>
    <n v="72"/>
    <n v="69"/>
    <n v="4"/>
    <s v="Airport Express"/>
    <n v="32"/>
    <n v="14"/>
    <x v="1"/>
    <x v="3"/>
    <n v="0"/>
    <n v="0"/>
    <s v=""/>
    <n v="1"/>
    <n v="1"/>
    <n v="17"/>
    <x v="1"/>
    <n v="1"/>
    <x v="0"/>
    <n v="2.25"/>
  </r>
  <r>
    <s v="T2178"/>
    <x v="0"/>
    <d v="2026-09-20T00:00:00"/>
    <d v="1899-12-30T05:00:00"/>
    <n v="80"/>
    <n v="88"/>
    <n v="7"/>
    <s v="Tech Park Shuttle"/>
    <n v="15"/>
    <n v="16"/>
    <x v="0"/>
    <x v="2"/>
    <n v="1"/>
    <n v="0"/>
    <s v="Marathon"/>
    <n v="1"/>
    <n v="1"/>
    <n v="4"/>
    <x v="16"/>
    <n v="0"/>
    <x v="1"/>
    <n v="5.33"/>
  </r>
  <r>
    <s v="T2179"/>
    <x v="2"/>
    <d v="2026-09-16T00:00:00"/>
    <d v="1899-12-30T07:15:00"/>
    <n v="110"/>
    <n v="106"/>
    <n v="5"/>
    <s v="Downtown Loop"/>
    <n v="12.2"/>
    <n v="18"/>
    <x v="2"/>
    <x v="6"/>
    <n v="0"/>
    <n v="0"/>
    <s v=""/>
    <n v="1"/>
    <n v="1"/>
    <n v="12"/>
    <x v="6"/>
    <n v="0"/>
    <x v="0"/>
    <n v="9.02"/>
  </r>
  <r>
    <s v="T2180"/>
    <x v="1"/>
    <d v="2026-09-04T00:00:00"/>
    <d v="1899-12-30T19:45:00"/>
    <n v="160"/>
    <n v="154"/>
    <n v="6"/>
    <s v="Airport Express"/>
    <n v="32"/>
    <n v="14"/>
    <x v="1"/>
    <x v="3"/>
    <n v="0"/>
    <n v="0"/>
    <s v=""/>
    <n v="1"/>
    <n v="1"/>
    <n v="10"/>
    <x v="8"/>
    <n v="1"/>
    <x v="0"/>
    <n v="5"/>
  </r>
  <r>
    <s v="T2181"/>
    <x v="0"/>
    <d v="2026-09-06T00:00:00"/>
    <d v="1899-12-30T08:15:00"/>
    <n v="77"/>
    <n v="70"/>
    <n v="4"/>
    <s v="Tech Park Shuttle"/>
    <n v="15"/>
    <n v="16"/>
    <x v="0"/>
    <x v="2"/>
    <n v="1"/>
    <n v="0"/>
    <s v=""/>
    <n v="1"/>
    <n v="1"/>
    <n v="9"/>
    <x v="13"/>
    <n v="1"/>
    <x v="0"/>
    <n v="5.13"/>
  </r>
  <r>
    <s v="T2182"/>
    <x v="4"/>
    <d v="2026-09-26T00:00:00"/>
    <d v="1899-12-30T21:30:00"/>
    <n v="102"/>
    <n v="104"/>
    <n v="4"/>
    <s v="Suburban Link"/>
    <n v="24.8"/>
    <n v="28"/>
    <x v="4"/>
    <x v="1"/>
    <n v="1"/>
    <n v="0"/>
    <s v=""/>
    <n v="1"/>
    <n v="1"/>
    <n v="6"/>
    <x v="10"/>
    <n v="0"/>
    <x v="0"/>
    <n v="4.1100000000000003"/>
  </r>
  <r>
    <s v="T2183"/>
    <x v="3"/>
    <d v="2026-09-22T00:00:00"/>
    <d v="1899-12-30T15:45:00"/>
    <n v="138"/>
    <n v="140"/>
    <n v="5"/>
    <s v="Corridor North"/>
    <n v="18.5"/>
    <n v="22"/>
    <x v="3"/>
    <x v="0"/>
    <n v="0"/>
    <n v="0"/>
    <s v=""/>
    <n v="1"/>
    <n v="1"/>
    <n v="4"/>
    <x v="17"/>
    <n v="0"/>
    <x v="0"/>
    <n v="7.46"/>
  </r>
  <r>
    <s v="T2184"/>
    <x v="1"/>
    <d v="2026-09-26T00:00:00"/>
    <d v="1899-12-30T07:45:00"/>
    <n v="147"/>
    <n v="137"/>
    <n v="5"/>
    <s v="Airport Express"/>
    <n v="32"/>
    <n v="14"/>
    <x v="1"/>
    <x v="1"/>
    <n v="1"/>
    <n v="0"/>
    <s v=""/>
    <n v="1"/>
    <n v="1"/>
    <n v="18"/>
    <x v="6"/>
    <n v="0"/>
    <x v="0"/>
    <n v="4.59"/>
  </r>
  <r>
    <s v="T2185"/>
    <x v="1"/>
    <d v="2026-09-03T00:00:00"/>
    <d v="1899-12-30T18:15:00"/>
    <n v="60"/>
    <n v="54"/>
    <n v="3"/>
    <s v="Airport Express"/>
    <n v="32"/>
    <n v="14"/>
    <x v="1"/>
    <x v="4"/>
    <n v="0"/>
    <n v="0"/>
    <s v=""/>
    <n v="1"/>
    <n v="1"/>
    <n v="4"/>
    <x v="0"/>
    <n v="1"/>
    <x v="0"/>
    <n v="1.88"/>
  </r>
  <r>
    <s v="T2186"/>
    <x v="1"/>
    <d v="2026-09-09T00:00:00"/>
    <d v="1899-12-30T05:15:00"/>
    <n v="53"/>
    <n v="57"/>
    <n v="5"/>
    <s v="Airport Express"/>
    <n v="32"/>
    <n v="14"/>
    <x v="1"/>
    <x v="6"/>
    <n v="0"/>
    <n v="0"/>
    <s v=""/>
    <n v="1"/>
    <n v="1"/>
    <n v="2"/>
    <x v="16"/>
    <n v="0"/>
    <x v="0"/>
    <n v="1.66"/>
  </r>
  <r>
    <s v="T2187"/>
    <x v="1"/>
    <d v="2026-09-28T00:00:00"/>
    <d v="1899-12-30T06:00:00"/>
    <n v="92"/>
    <n v="94"/>
    <n v="5"/>
    <s v="Airport Express"/>
    <n v="32"/>
    <n v="14"/>
    <x v="1"/>
    <x v="5"/>
    <n v="0"/>
    <n v="0"/>
    <s v=""/>
    <n v="1"/>
    <n v="1"/>
    <n v="7"/>
    <x v="12"/>
    <n v="0"/>
    <x v="0"/>
    <n v="2.88"/>
  </r>
  <r>
    <s v="T2188"/>
    <x v="0"/>
    <d v="2026-09-10T00:00:00"/>
    <d v="1899-12-30T08:45:00"/>
    <n v="117"/>
    <n v="116"/>
    <n v="6"/>
    <s v="Tech Park Shuttle"/>
    <n v="15"/>
    <n v="16"/>
    <x v="0"/>
    <x v="4"/>
    <n v="0"/>
    <n v="0"/>
    <s v=""/>
    <n v="1"/>
    <n v="1"/>
    <n v="0"/>
    <x v="13"/>
    <n v="1"/>
    <x v="0"/>
    <n v="7.8"/>
  </r>
  <r>
    <s v="T2189"/>
    <x v="4"/>
    <d v="2026-09-14T00:00:00"/>
    <d v="1899-12-30T10:00:00"/>
    <n v="83"/>
    <n v="87"/>
    <n v="5"/>
    <s v="Suburban Link"/>
    <n v="24.8"/>
    <n v="28"/>
    <x v="4"/>
    <x v="5"/>
    <n v="0"/>
    <n v="0"/>
    <s v=""/>
    <n v="1"/>
    <n v="1"/>
    <n v="3"/>
    <x v="3"/>
    <n v="1"/>
    <x v="0"/>
    <n v="3.35"/>
  </r>
  <r>
    <s v="T2190"/>
    <x v="4"/>
    <d v="2026-09-11T00:00:00"/>
    <d v="1899-12-30T05:00:00"/>
    <n v="126"/>
    <n v="135"/>
    <n v="7"/>
    <s v="Suburban Link"/>
    <n v="24.8"/>
    <n v="28"/>
    <x v="4"/>
    <x v="3"/>
    <n v="0"/>
    <n v="0"/>
    <s v=""/>
    <n v="1"/>
    <n v="1"/>
    <n v="2"/>
    <x v="16"/>
    <n v="0"/>
    <x v="0"/>
    <n v="5.08"/>
  </r>
  <r>
    <s v="T2191"/>
    <x v="3"/>
    <d v="2026-09-18T00:00:00"/>
    <d v="1899-12-30T12:30:00"/>
    <n v="63"/>
    <n v="61"/>
    <n v="3"/>
    <s v="Corridor North"/>
    <n v="18.5"/>
    <n v="22"/>
    <x v="3"/>
    <x v="3"/>
    <n v="0"/>
    <n v="0"/>
    <s v=""/>
    <n v="1"/>
    <n v="1"/>
    <n v="4"/>
    <x v="14"/>
    <n v="0"/>
    <x v="0"/>
    <n v="3.41"/>
  </r>
  <r>
    <s v="T2192"/>
    <x v="4"/>
    <d v="2026-09-22T00:00:00"/>
    <d v="1899-12-30T05:00:00"/>
    <n v="49"/>
    <n v="47"/>
    <n v="3"/>
    <s v="Suburban Link"/>
    <n v="24.8"/>
    <n v="28"/>
    <x v="4"/>
    <x v="0"/>
    <n v="0"/>
    <n v="0"/>
    <s v=""/>
    <n v="1"/>
    <n v="1"/>
    <n v="6"/>
    <x v="16"/>
    <n v="0"/>
    <x v="0"/>
    <n v="1.98"/>
  </r>
  <r>
    <s v="T2193"/>
    <x v="4"/>
    <d v="2026-09-12T00:00:00"/>
    <d v="1899-12-30T20:15:00"/>
    <n v="158"/>
    <n v="164"/>
    <n v="5"/>
    <s v="Suburban Link"/>
    <n v="24.8"/>
    <n v="28"/>
    <x v="4"/>
    <x v="1"/>
    <n v="1"/>
    <n v="0"/>
    <s v="Tech Expo"/>
    <n v="1"/>
    <n v="1"/>
    <n v="6"/>
    <x v="15"/>
    <n v="0"/>
    <x v="1"/>
    <n v="6.37"/>
  </r>
  <r>
    <s v="T2194"/>
    <x v="1"/>
    <d v="2026-09-23T00:00:00"/>
    <d v="1899-12-30T12:00:00"/>
    <n v="127"/>
    <n v="135"/>
    <n v="6"/>
    <s v="Airport Express"/>
    <n v="32"/>
    <n v="14"/>
    <x v="1"/>
    <x v="6"/>
    <n v="0"/>
    <n v="0"/>
    <s v=""/>
    <n v="1"/>
    <n v="1"/>
    <n v="7"/>
    <x v="14"/>
    <n v="0"/>
    <x v="0"/>
    <n v="3.97"/>
  </r>
  <r>
    <s v="T2195"/>
    <x v="4"/>
    <d v="2026-09-12T00:00:00"/>
    <d v="1899-12-30T20:45:00"/>
    <n v="142"/>
    <n v="140"/>
    <n v="7"/>
    <s v="Suburban Link"/>
    <n v="24.8"/>
    <n v="28"/>
    <x v="4"/>
    <x v="1"/>
    <n v="1"/>
    <n v="0"/>
    <s v="Tech Expo"/>
    <n v="1"/>
    <n v="1"/>
    <n v="4"/>
    <x v="15"/>
    <n v="0"/>
    <x v="1"/>
    <n v="5.73"/>
  </r>
  <r>
    <s v="T2196"/>
    <x v="3"/>
    <d v="2026-09-13T00:00:00"/>
    <d v="1899-12-30T07:30:00"/>
    <n v="81"/>
    <n v="84"/>
    <n v="3"/>
    <s v="Corridor North"/>
    <n v="18.5"/>
    <n v="22"/>
    <x v="3"/>
    <x v="2"/>
    <n v="1"/>
    <n v="0"/>
    <s v=""/>
    <n v="1"/>
    <n v="1"/>
    <n v="1"/>
    <x v="6"/>
    <n v="0"/>
    <x v="0"/>
    <n v="4.38"/>
  </r>
  <r>
    <s v="T2197"/>
    <x v="3"/>
    <d v="2026-09-25T00:00:00"/>
    <d v="1899-12-30T16:45:00"/>
    <n v="60"/>
    <n v="60"/>
    <n v="5"/>
    <s v="Corridor North"/>
    <n v="18.5"/>
    <n v="22"/>
    <x v="3"/>
    <x v="3"/>
    <n v="0"/>
    <n v="0"/>
    <s v=""/>
    <n v="1"/>
    <n v="1"/>
    <n v="1"/>
    <x v="2"/>
    <n v="0"/>
    <x v="0"/>
    <n v="3.24"/>
  </r>
  <r>
    <s v="T2198"/>
    <x v="0"/>
    <d v="2026-09-13T00:00:00"/>
    <d v="1899-12-30T15:15:00"/>
    <n v="120"/>
    <n v="124"/>
    <n v="6"/>
    <s v="Tech Park Shuttle"/>
    <n v="15"/>
    <n v="16"/>
    <x v="0"/>
    <x v="2"/>
    <n v="1"/>
    <n v="0"/>
    <s v=""/>
    <n v="1"/>
    <n v="1"/>
    <n v="21"/>
    <x v="17"/>
    <n v="0"/>
    <x v="0"/>
    <n v="8"/>
  </r>
  <r>
    <s v="T2199"/>
    <x v="1"/>
    <d v="2026-09-19T00:00:00"/>
    <d v="1899-12-30T08:45:00"/>
    <n v="51"/>
    <n v="59"/>
    <n v="3"/>
    <s v="Airport Express"/>
    <n v="32"/>
    <n v="14"/>
    <x v="1"/>
    <x v="1"/>
    <n v="1"/>
    <n v="1"/>
    <s v=""/>
    <n v="1"/>
    <n v="1"/>
    <n v="1"/>
    <x v="13"/>
    <n v="1"/>
    <x v="0"/>
    <n v="1.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0BD969-CBD7-410E-83A3-63784BD8DD41}"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9:F32" firstHeaderRow="1" firstDataRow="1" firstDataCol="1"/>
  <pivotFields count="22">
    <pivotField showAll="0"/>
    <pivotField showAll="0">
      <items count="6">
        <item x="3"/>
        <item x="1"/>
        <item x="2"/>
        <item x="4"/>
        <item x="0"/>
        <item t="default"/>
      </items>
    </pivotField>
    <pivotField numFmtId="14" showAll="0"/>
    <pivotField numFmtId="164" showAll="0"/>
    <pivotField dataField="1" showAll="0"/>
    <pivotField showAll="0"/>
    <pivotField showAll="0"/>
    <pivotField showAll="0"/>
    <pivotField showAll="0"/>
    <pivotField showAll="0"/>
    <pivotField showAll="0"/>
    <pivotField showAll="0">
      <items count="8">
        <item x="2"/>
        <item x="5"/>
        <item x="0"/>
        <item x="6"/>
        <item x="4"/>
        <item x="3"/>
        <item x="1"/>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0"/>
  </rowFields>
  <rowItems count="3">
    <i>
      <x/>
    </i>
    <i>
      <x v="1"/>
    </i>
    <i t="grand">
      <x/>
    </i>
  </rowItems>
  <colItems count="1">
    <i/>
  </colItems>
  <dataFields count="1">
    <dataField name="Average of total_boardings" fld="4" subtotal="average" baseField="20" baseItem="0" numFmtId="2"/>
  </dataFields>
  <formats count="1">
    <format dxfId="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74B649-1937-450F-B092-90EEED1AFA9E}"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B41" firstHeaderRow="1" firstDataRow="1" firstDataCol="1"/>
  <pivotFields count="22">
    <pivotField showAll="0"/>
    <pivotField axis="axisRow" showAll="0">
      <items count="6">
        <item x="3"/>
        <item x="1"/>
        <item x="2"/>
        <item x="4"/>
        <item x="0"/>
        <item t="default"/>
      </items>
    </pivotField>
    <pivotField numFmtId="14" showAll="0"/>
    <pivotField numFmtId="164" showAll="0"/>
    <pivotField showAll="0"/>
    <pivotField showAll="0"/>
    <pivotField showAll="0"/>
    <pivotField showAll="0"/>
    <pivotField showAll="0"/>
    <pivotField showAll="0"/>
    <pivotField showAll="0"/>
    <pivotField showAll="0">
      <items count="8">
        <item x="2"/>
        <item x="5"/>
        <item x="0"/>
        <item x="6"/>
        <item x="4"/>
        <item x="3"/>
        <item x="1"/>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
  </rowFields>
  <rowItems count="6">
    <i>
      <x/>
    </i>
    <i>
      <x v="1"/>
    </i>
    <i>
      <x v="2"/>
    </i>
    <i>
      <x v="3"/>
    </i>
    <i>
      <x v="4"/>
    </i>
    <i t="grand">
      <x/>
    </i>
  </rowItems>
  <colItems count="1">
    <i/>
  </colItems>
  <dataFields count="1">
    <dataField name="Average of delay_minutes" fld="17" subtotal="average" baseField="1" baseItem="0" numFmtId="2"/>
  </dataFields>
  <formats count="1">
    <format dxfId="5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FDEB49-0FC5-4AC2-A2FE-B4742D224A55}"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B26" firstHeaderRow="1" firstDataRow="1" firstDataCol="1"/>
  <pivotFields count="22">
    <pivotField showAll="0"/>
    <pivotField showAll="0">
      <items count="6">
        <item x="3"/>
        <item x="1"/>
        <item x="2"/>
        <item x="4"/>
        <item x="0"/>
        <item t="default"/>
      </items>
    </pivotField>
    <pivotField numFmtId="14" showAll="0"/>
    <pivotField numFmtId="164" showAll="0"/>
    <pivotField dataField="1" showAll="0"/>
    <pivotField showAll="0"/>
    <pivotField showAll="0"/>
    <pivotField showAll="0"/>
    <pivotField showAll="0"/>
    <pivotField showAll="0"/>
    <pivotField showAll="0"/>
    <pivotField axis="axisRow" showAll="0">
      <items count="8">
        <item x="2"/>
        <item x="5"/>
        <item x="0"/>
        <item x="6"/>
        <item x="4"/>
        <item x="3"/>
        <item x="1"/>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Average of total_boardings" fld="4" subtotal="average" baseField="11" baseItem="0"/>
  </dataFields>
  <formats count="2">
    <format dxfId="64">
      <pivotArea collapsedLevelsAreSubtotals="1" fieldPosition="0">
        <references count="1">
          <reference field="11" count="0"/>
        </references>
      </pivotArea>
    </format>
    <format dxfId="4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7BAA0F-00A4-48F1-9360-F94FAAF5FCE5}"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9" firstHeaderRow="1" firstDataRow="1" firstDataCol="1"/>
  <pivotFields count="22">
    <pivotField showAll="0"/>
    <pivotField showAll="0">
      <items count="6">
        <item x="3"/>
        <item x="1"/>
        <item x="2"/>
        <item x="4"/>
        <item x="0"/>
        <item t="default"/>
      </items>
    </pivotField>
    <pivotField numFmtId="14" showAll="0"/>
    <pivotField numFmtId="164" showAll="0"/>
    <pivotField dataField="1" showAll="0"/>
    <pivotField showAll="0"/>
    <pivotField showAll="0"/>
    <pivotField showAll="0"/>
    <pivotField showAll="0"/>
    <pivotField showAll="0"/>
    <pivotField axis="axisRow" showAll="0">
      <items count="6">
        <item x="2"/>
        <item x="1"/>
        <item x="3"/>
        <item x="0"/>
        <item x="4"/>
        <item t="default"/>
      </items>
    </pivotField>
    <pivotField showAll="0">
      <items count="8">
        <item x="2"/>
        <item x="5"/>
        <item x="0"/>
        <item x="6"/>
        <item x="4"/>
        <item x="3"/>
        <item x="1"/>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otal_boardings"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41483A-6DA0-457C-8786-0C471F2508E2}"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22" firstHeaderRow="1" firstDataRow="1" firstDataCol="1"/>
  <pivotFields count="22">
    <pivotField showAll="0"/>
    <pivotField showAll="0">
      <items count="6">
        <item x="3"/>
        <item x="1"/>
        <item x="2"/>
        <item x="4"/>
        <item x="0"/>
        <item t="default"/>
      </items>
    </pivotField>
    <pivotField numFmtId="14" showAll="0"/>
    <pivotField numFmtId="164" showAll="0"/>
    <pivotField dataField="1" showAll="0"/>
    <pivotField showAll="0"/>
    <pivotField showAll="0"/>
    <pivotField showAll="0"/>
    <pivotField showAll="0"/>
    <pivotField showAll="0"/>
    <pivotField showAll="0"/>
    <pivotField showAll="0">
      <items count="8">
        <item x="2"/>
        <item x="5"/>
        <item x="0"/>
        <item x="6"/>
        <item x="4"/>
        <item x="3"/>
        <item x="1"/>
        <item t="default"/>
      </items>
    </pivotField>
    <pivotField showAll="0"/>
    <pivotField showAll="0"/>
    <pivotField showAll="0"/>
    <pivotField showAll="0"/>
    <pivotField showAll="0"/>
    <pivotField showAll="0"/>
    <pivotField axis="axisRow" showAll="0">
      <items count="19">
        <item x="16"/>
        <item x="12"/>
        <item x="6"/>
        <item x="13"/>
        <item x="4"/>
        <item x="3"/>
        <item x="9"/>
        <item x="14"/>
        <item x="5"/>
        <item x="7"/>
        <item x="17"/>
        <item x="2"/>
        <item x="1"/>
        <item x="0"/>
        <item x="8"/>
        <item x="15"/>
        <item x="10"/>
        <item x="11"/>
        <item t="default"/>
      </items>
    </pivotField>
    <pivotField showAll="0"/>
    <pivotField showAll="0"/>
    <pivotField showAll="0"/>
  </pivotFields>
  <rowFields count="1">
    <field x="18"/>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total_boardings" fld="4" subtotal="average" baseField="18" baseItem="6" numFmtId="2"/>
  </dataFields>
  <formats count="1">
    <format dxfId="3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C4E27A-6AAF-4C96-A2A0-6FC7F74B9524}"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2">
    <pivotField showAll="0"/>
    <pivotField axis="axisRow" showAll="0">
      <items count="6">
        <item x="3"/>
        <item x="1"/>
        <item x="2"/>
        <item x="4"/>
        <item x="0"/>
        <item t="default"/>
      </items>
    </pivotField>
    <pivotField numFmtId="14" showAll="0"/>
    <pivotField numFmtId="164" showAll="0"/>
    <pivotField dataField="1" showAll="0"/>
    <pivotField showAll="0"/>
    <pivotField showAll="0"/>
    <pivotField showAll="0"/>
    <pivotField showAll="0"/>
    <pivotField showAll="0"/>
    <pivotField showAll="0"/>
    <pivotField showAll="0">
      <items count="8">
        <item x="2"/>
        <item x="5"/>
        <item x="0"/>
        <item x="6"/>
        <item x="4"/>
        <item x="3"/>
        <item x="1"/>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total_boardings"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D221A6-0207-4661-BA22-D1E5E4B72AF7}" autoFormatId="16" applyNumberFormats="0" applyBorderFormats="0" applyFontFormats="0" applyPatternFormats="0" applyAlignmentFormats="0" applyWidthHeightFormats="0">
  <queryTableRefresh nextId="23">
    <queryTableFields count="22">
      <queryTableField id="1" name="trip_id" tableColumnId="1"/>
      <queryTableField id="2" name="route_id" tableColumnId="2"/>
      <queryTableField id="3" name="date" tableColumnId="3"/>
      <queryTableField id="4" name="start_time" tableColumnId="4"/>
      <queryTableField id="5" name="total_boardings" tableColumnId="5"/>
      <queryTableField id="6" name="total_alightings" tableColumnId="6"/>
      <queryTableField id="7" name="stops_serviced" tableColumnId="7"/>
      <queryTableField id="8" name="route_name" tableColumnId="8"/>
      <queryTableField id="9" name="distance_km" tableColumnId="9"/>
      <queryTableField id="10" name="stop_count" tableColumnId="10"/>
      <queryTableField id="11" name="corridor" tableColumnId="11"/>
      <queryTableField id="12" name="weekday" tableColumnId="12"/>
      <queryTableField id="13" name="is_weekend" tableColumnId="13"/>
      <queryTableField id="14" name="is_holiday" tableColumnId="14"/>
      <queryTableField id="15" name="event" tableColumnId="15"/>
      <queryTableField id="16" name="scheduled_trips" tableColumnId="16"/>
      <queryTableField id="17" name="completed_trips" tableColumnId="17"/>
      <queryTableField id="18" name="delay_minutes" tableColumnId="18"/>
      <queryTableField id="19" name="hour" tableColumnId="19"/>
      <queryTableField id="20" name="is_rush_hour" tableColumnId="20"/>
      <queryTableField id="21" name="has_special_event" tableColumnId="21"/>
      <queryTableField id="22" name="passenger_density"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_id" xr10:uid="{995CCE7B-3473-4573-AC80-5FB7C3573C03}" sourceName="route_id">
  <pivotTables>
    <pivotTable tabId="4" name="PivotTable1"/>
    <pivotTable tabId="4" name="PivotTable2"/>
    <pivotTable tabId="4" name="PivotTable3"/>
    <pivotTable tabId="4" name="PivotTable4"/>
    <pivotTable tabId="4" name="PivotTable5"/>
    <pivotTable tabId="4" name="PivotTable6"/>
  </pivotTables>
  <data>
    <tabular pivotCacheId="198560477">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687A5F61-47A7-4C2C-9EAD-068A6F0562D9}" sourceName="weekday">
  <pivotTables>
    <pivotTable tabId="4" name="PivotTable1"/>
    <pivotTable tabId="4" name="PivotTable2"/>
    <pivotTable tabId="4" name="PivotTable3"/>
    <pivotTable tabId="4" name="PivotTable4"/>
    <pivotTable tabId="4" name="PivotTable5"/>
    <pivotTable tabId="4" name="PivotTable6"/>
  </pivotTables>
  <data>
    <tabular pivotCacheId="198560477">
      <items count="7">
        <i x="2" s="1"/>
        <i x="5" s="1"/>
        <i x="0" s="1"/>
        <i x="6"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ute_id" xr10:uid="{DB2F0857-0ACB-40BB-B984-DAF7306BA46C}" cache="Slicer_route_id" caption="route_id" rowHeight="257175"/>
  <slicer name="weekday" xr10:uid="{9493445F-A2E6-45D9-9EBD-DE9BD6498C1C}" cache="Slicer_weekday" caption="weekda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27E81B-98CF-4F39-94AC-04B32E682BD7}" name="metrolink_cleaned_master" displayName="metrolink_cleaned_master" ref="A1:V1201" tableType="queryTable" totalsRowShown="0">
  <autoFilter ref="A1:V1201" xr:uid="{B227E81B-98CF-4F39-94AC-04B32E682BD7}"/>
  <tableColumns count="22">
    <tableColumn id="1" xr3:uid="{69AC6E7F-3CA0-41C6-BB9E-14E962EBB32B}" uniqueName="1" name="trip_id" queryTableFieldId="1" dataDxfId="75"/>
    <tableColumn id="2" xr3:uid="{1FAEA59D-840E-47ED-A342-D07EB23BCE6B}" uniqueName="2" name="route_id" queryTableFieldId="2" dataDxfId="74"/>
    <tableColumn id="3" xr3:uid="{0A1D356C-7C23-4F09-8803-D942EA3C9201}" uniqueName="3" name="date" queryTableFieldId="3" dataDxfId="73"/>
    <tableColumn id="4" xr3:uid="{C67D8615-0E3B-410B-9AFA-09A551A87C1E}" uniqueName="4" name="start_time" queryTableFieldId="4" dataDxfId="72"/>
    <tableColumn id="5" xr3:uid="{0BEBE7F3-793F-4466-BF60-A3768D61D669}" uniqueName="5" name="total_boardings" queryTableFieldId="5"/>
    <tableColumn id="6" xr3:uid="{B45E2FAB-C48A-42D1-A53C-BD3A06E3462A}" uniqueName="6" name="total_alightings" queryTableFieldId="6"/>
    <tableColumn id="7" xr3:uid="{20A78BCE-FC58-40EC-8264-893994F16394}" uniqueName="7" name="stops_serviced" queryTableFieldId="7"/>
    <tableColumn id="8" xr3:uid="{FD9A3DE4-F8E3-4189-925F-830AC6D20E19}" uniqueName="8" name="route_name" queryTableFieldId="8" dataDxfId="71"/>
    <tableColumn id="9" xr3:uid="{457A541E-7C42-4974-AD26-33CD15C5E53E}" uniqueName="9" name="distance_km" queryTableFieldId="9"/>
    <tableColumn id="10" xr3:uid="{241496DC-D6BB-4113-9FD9-8CA4BB83D7EF}" uniqueName="10" name="stop_count" queryTableFieldId="10"/>
    <tableColumn id="11" xr3:uid="{7D265BD1-F11C-474D-A3F4-666CD9844E3C}" uniqueName="11" name="corridor" queryTableFieldId="11" dataDxfId="70"/>
    <tableColumn id="12" xr3:uid="{4DCD000A-E43A-4BD7-9CD4-402F2D5A861A}" uniqueName="12" name="weekday" queryTableFieldId="12" dataDxfId="69"/>
    <tableColumn id="13" xr3:uid="{E3A0B8BE-56E1-49D0-8DBD-0BCBCE5B8DF5}" uniqueName="13" name="is_weekend" queryTableFieldId="13"/>
    <tableColumn id="14" xr3:uid="{4E58AA1B-BB9C-4C50-B8E9-F686ADF32F79}" uniqueName="14" name="is_holiday" queryTableFieldId="14"/>
    <tableColumn id="15" xr3:uid="{1910FCD0-159B-4691-AAB0-954B387CE58F}" uniqueName="15" name="event" queryTableFieldId="15" dataDxfId="68"/>
    <tableColumn id="16" xr3:uid="{F576D1E3-CC7B-4769-8C29-9DB29A2A9678}" uniqueName="16" name="scheduled_trips" queryTableFieldId="16"/>
    <tableColumn id="17" xr3:uid="{C0A864B6-EBF1-4969-8173-D53C478F97E1}" uniqueName="17" name="completed_trips" queryTableFieldId="17"/>
    <tableColumn id="18" xr3:uid="{06D52B39-C36A-4A9C-A074-6E5AEE86FABC}" uniqueName="18" name="delay_minutes" queryTableFieldId="18"/>
    <tableColumn id="19" xr3:uid="{D8A2239F-9ED6-484D-8BF6-880CF74A21F4}" uniqueName="19" name="hour" queryTableFieldId="19"/>
    <tableColumn id="20" xr3:uid="{39840424-B9C6-4972-90D4-7F34C4621C6C}" uniqueName="20" name="is_rush_hour" queryTableFieldId="20"/>
    <tableColumn id="21" xr3:uid="{9A862809-D951-4412-AC23-D75DB6F8ED35}" uniqueName="21" name="has_special_event" queryTableFieldId="21"/>
    <tableColumn id="22" xr3:uid="{B3A19E95-456A-48E8-B120-277F3FE1DA41}" uniqueName="22" name="passenger_density"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AEAC-C603-4058-9D3D-4873C5C9B009}">
  <dimension ref="A1:V1201"/>
  <sheetViews>
    <sheetView topLeftCell="A2" workbookViewId="0">
      <selection activeCell="C6" sqref="C6"/>
    </sheetView>
  </sheetViews>
  <sheetFormatPr defaultRowHeight="15"/>
  <cols>
    <col min="1" max="1" width="9" bestFit="1" customWidth="1"/>
    <col min="2" max="2" width="10.7109375" bestFit="1" customWidth="1"/>
    <col min="3" max="3" width="10.42578125" bestFit="1" customWidth="1"/>
    <col min="4" max="4" width="12.42578125" bestFit="1" customWidth="1"/>
    <col min="5" max="5" width="17.28515625" bestFit="1" customWidth="1"/>
    <col min="6" max="6" width="17.140625" bestFit="1" customWidth="1"/>
    <col min="7" max="7" width="17" bestFit="1" customWidth="1"/>
    <col min="8" max="8" width="16.140625" bestFit="1" customWidth="1"/>
    <col min="9" max="9" width="14.5703125" bestFit="1" customWidth="1"/>
    <col min="10" max="10" width="13.28515625" bestFit="1" customWidth="1"/>
    <col min="11" max="11" width="11.85546875" bestFit="1" customWidth="1"/>
    <col min="12" max="12" width="11.140625" bestFit="1" customWidth="1"/>
    <col min="13" max="13" width="13.85546875" bestFit="1" customWidth="1"/>
    <col min="14" max="14" width="12.28515625" bestFit="1" customWidth="1"/>
    <col min="15" max="15" width="10.28515625" bestFit="1" customWidth="1"/>
    <col min="16" max="16" width="17.85546875" bestFit="1" customWidth="1"/>
    <col min="17" max="17" width="18.140625" bestFit="1" customWidth="1"/>
    <col min="18" max="18" width="16.5703125" bestFit="1" customWidth="1"/>
    <col min="19" max="19" width="7.42578125" bestFit="1" customWidth="1"/>
    <col min="20" max="20" width="14.7109375" bestFit="1" customWidth="1"/>
    <col min="21" max="21" width="20" bestFit="1" customWidth="1"/>
    <col min="22" max="22" width="20.42578125" bestFit="1"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s="1" t="s">
        <v>22</v>
      </c>
      <c r="B2" s="1" t="s">
        <v>23</v>
      </c>
      <c r="C2" s="2">
        <v>46273</v>
      </c>
      <c r="D2" s="3">
        <v>0.78125</v>
      </c>
      <c r="E2">
        <v>64</v>
      </c>
      <c r="F2">
        <v>65</v>
      </c>
      <c r="G2">
        <v>4</v>
      </c>
      <c r="H2" s="1" t="s">
        <v>24</v>
      </c>
      <c r="I2">
        <v>15</v>
      </c>
      <c r="J2">
        <v>16</v>
      </c>
      <c r="K2" s="1" t="s">
        <v>25</v>
      </c>
      <c r="L2" s="1" t="s">
        <v>26</v>
      </c>
      <c r="M2">
        <v>0</v>
      </c>
      <c r="N2">
        <v>0</v>
      </c>
      <c r="O2" s="1" t="s">
        <v>27</v>
      </c>
      <c r="P2">
        <v>1</v>
      </c>
      <c r="Q2">
        <v>1</v>
      </c>
      <c r="R2">
        <v>0</v>
      </c>
      <c r="S2">
        <v>18</v>
      </c>
      <c r="T2">
        <v>1</v>
      </c>
      <c r="U2">
        <v>0</v>
      </c>
      <c r="V2">
        <v>4.2699999999999996</v>
      </c>
    </row>
    <row r="3" spans="1:22">
      <c r="A3" s="1" t="s">
        <v>28</v>
      </c>
      <c r="B3" s="1" t="s">
        <v>29</v>
      </c>
      <c r="C3" s="2">
        <v>46291</v>
      </c>
      <c r="D3" s="3">
        <v>0.73958333333333337</v>
      </c>
      <c r="E3">
        <v>61</v>
      </c>
      <c r="F3">
        <v>50</v>
      </c>
      <c r="G3">
        <v>5</v>
      </c>
      <c r="H3" s="1" t="s">
        <v>30</v>
      </c>
      <c r="I3">
        <v>32</v>
      </c>
      <c r="J3">
        <v>14</v>
      </c>
      <c r="K3" s="1" t="s">
        <v>31</v>
      </c>
      <c r="L3" s="1" t="s">
        <v>32</v>
      </c>
      <c r="M3">
        <v>1</v>
      </c>
      <c r="N3">
        <v>0</v>
      </c>
      <c r="O3" s="1" t="s">
        <v>27</v>
      </c>
      <c r="P3">
        <v>1</v>
      </c>
      <c r="Q3">
        <v>1</v>
      </c>
      <c r="R3">
        <v>4</v>
      </c>
      <c r="S3">
        <v>17</v>
      </c>
      <c r="T3">
        <v>1</v>
      </c>
      <c r="U3">
        <v>0</v>
      </c>
      <c r="V3">
        <v>1.91</v>
      </c>
    </row>
    <row r="4" spans="1:22">
      <c r="A4" s="1" t="s">
        <v>33</v>
      </c>
      <c r="B4" s="1" t="s">
        <v>34</v>
      </c>
      <c r="C4" s="2">
        <v>46284</v>
      </c>
      <c r="D4" s="3">
        <v>0.67708333333333337</v>
      </c>
      <c r="E4">
        <v>155</v>
      </c>
      <c r="F4">
        <v>144</v>
      </c>
      <c r="G4">
        <v>4</v>
      </c>
      <c r="H4" s="1" t="s">
        <v>35</v>
      </c>
      <c r="I4">
        <v>12.2</v>
      </c>
      <c r="J4">
        <v>18</v>
      </c>
      <c r="K4" s="1" t="s">
        <v>36</v>
      </c>
      <c r="L4" s="1" t="s">
        <v>32</v>
      </c>
      <c r="M4">
        <v>1</v>
      </c>
      <c r="N4">
        <v>1</v>
      </c>
      <c r="O4" s="1" t="s">
        <v>27</v>
      </c>
      <c r="P4">
        <v>1</v>
      </c>
      <c r="Q4">
        <v>1</v>
      </c>
      <c r="R4">
        <v>11</v>
      </c>
      <c r="S4">
        <v>16</v>
      </c>
      <c r="T4">
        <v>0</v>
      </c>
      <c r="U4">
        <v>0</v>
      </c>
      <c r="V4">
        <v>12.7</v>
      </c>
    </row>
    <row r="5" spans="1:22">
      <c r="A5" s="1" t="s">
        <v>37</v>
      </c>
      <c r="B5" s="1" t="s">
        <v>23</v>
      </c>
      <c r="C5" s="2">
        <v>46278</v>
      </c>
      <c r="D5" s="3">
        <v>0.42708333333333331</v>
      </c>
      <c r="E5">
        <v>90</v>
      </c>
      <c r="F5">
        <v>105</v>
      </c>
      <c r="G5">
        <v>5</v>
      </c>
      <c r="H5" s="1" t="s">
        <v>24</v>
      </c>
      <c r="I5">
        <v>15</v>
      </c>
      <c r="J5">
        <v>16</v>
      </c>
      <c r="K5" s="1" t="s">
        <v>25</v>
      </c>
      <c r="L5" s="1" t="s">
        <v>38</v>
      </c>
      <c r="M5">
        <v>1</v>
      </c>
      <c r="N5">
        <v>0</v>
      </c>
      <c r="O5" s="1" t="s">
        <v>27</v>
      </c>
      <c r="P5">
        <v>1</v>
      </c>
      <c r="Q5">
        <v>1</v>
      </c>
      <c r="R5">
        <v>18</v>
      </c>
      <c r="S5">
        <v>10</v>
      </c>
      <c r="T5">
        <v>1</v>
      </c>
      <c r="U5">
        <v>0</v>
      </c>
      <c r="V5">
        <v>6</v>
      </c>
    </row>
    <row r="6" spans="1:22">
      <c r="A6" s="1" t="s">
        <v>39</v>
      </c>
      <c r="B6" s="1" t="s">
        <v>29</v>
      </c>
      <c r="C6" s="2">
        <v>46277</v>
      </c>
      <c r="D6" s="3">
        <v>0.40625</v>
      </c>
      <c r="E6">
        <v>81</v>
      </c>
      <c r="F6">
        <v>87</v>
      </c>
      <c r="G6">
        <v>3</v>
      </c>
      <c r="H6" s="1" t="s">
        <v>30</v>
      </c>
      <c r="I6">
        <v>32</v>
      </c>
      <c r="J6">
        <v>14</v>
      </c>
      <c r="K6" s="1" t="s">
        <v>31</v>
      </c>
      <c r="L6" s="1" t="s">
        <v>32</v>
      </c>
      <c r="M6">
        <v>1</v>
      </c>
      <c r="N6">
        <v>0</v>
      </c>
      <c r="O6" s="1" t="s">
        <v>40</v>
      </c>
      <c r="P6">
        <v>1</v>
      </c>
      <c r="Q6">
        <v>1</v>
      </c>
      <c r="R6">
        <v>1</v>
      </c>
      <c r="S6">
        <v>9</v>
      </c>
      <c r="T6">
        <v>1</v>
      </c>
      <c r="U6">
        <v>1</v>
      </c>
      <c r="V6">
        <v>2.5299999999999998</v>
      </c>
    </row>
    <row r="7" spans="1:22">
      <c r="A7" s="1" t="s">
        <v>41</v>
      </c>
      <c r="B7" s="1" t="s">
        <v>34</v>
      </c>
      <c r="C7" s="2">
        <v>46270</v>
      </c>
      <c r="D7" s="3">
        <v>0.5625</v>
      </c>
      <c r="E7">
        <v>31</v>
      </c>
      <c r="F7">
        <v>33</v>
      </c>
      <c r="G7">
        <v>3</v>
      </c>
      <c r="H7" s="1" t="s">
        <v>35</v>
      </c>
      <c r="I7">
        <v>12.2</v>
      </c>
      <c r="J7">
        <v>18</v>
      </c>
      <c r="K7" s="1" t="s">
        <v>36</v>
      </c>
      <c r="L7" s="1" t="s">
        <v>32</v>
      </c>
      <c r="M7">
        <v>1</v>
      </c>
      <c r="N7">
        <v>1</v>
      </c>
      <c r="O7" s="1" t="s">
        <v>27</v>
      </c>
      <c r="P7">
        <v>1</v>
      </c>
      <c r="Q7">
        <v>1</v>
      </c>
      <c r="R7">
        <v>4</v>
      </c>
      <c r="S7">
        <v>13</v>
      </c>
      <c r="T7">
        <v>0</v>
      </c>
      <c r="U7">
        <v>0</v>
      </c>
      <c r="V7">
        <v>2.54</v>
      </c>
    </row>
    <row r="8" spans="1:22">
      <c r="A8" s="1" t="s">
        <v>42</v>
      </c>
      <c r="B8" s="1" t="s">
        <v>34</v>
      </c>
      <c r="C8" s="2">
        <v>46271</v>
      </c>
      <c r="D8" s="3">
        <v>0.32291666666666669</v>
      </c>
      <c r="E8">
        <v>100</v>
      </c>
      <c r="F8">
        <v>111</v>
      </c>
      <c r="G8">
        <v>4</v>
      </c>
      <c r="H8" s="1" t="s">
        <v>35</v>
      </c>
      <c r="I8">
        <v>12.2</v>
      </c>
      <c r="J8">
        <v>18</v>
      </c>
      <c r="K8" s="1" t="s">
        <v>36</v>
      </c>
      <c r="L8" s="1" t="s">
        <v>38</v>
      </c>
      <c r="M8">
        <v>1</v>
      </c>
      <c r="N8">
        <v>0</v>
      </c>
      <c r="O8" s="1" t="s">
        <v>27</v>
      </c>
      <c r="P8">
        <v>1</v>
      </c>
      <c r="Q8">
        <v>1</v>
      </c>
      <c r="R8">
        <v>2</v>
      </c>
      <c r="S8">
        <v>7</v>
      </c>
      <c r="T8">
        <v>0</v>
      </c>
      <c r="U8">
        <v>0</v>
      </c>
      <c r="V8">
        <v>8.1999999999999993</v>
      </c>
    </row>
    <row r="9" spans="1:22">
      <c r="A9" s="1" t="s">
        <v>43</v>
      </c>
      <c r="B9" s="1" t="s">
        <v>23</v>
      </c>
      <c r="C9" s="2">
        <v>46291</v>
      </c>
      <c r="D9" s="3">
        <v>0.60416666666666663</v>
      </c>
      <c r="E9">
        <v>170</v>
      </c>
      <c r="F9">
        <v>163</v>
      </c>
      <c r="G9">
        <v>5</v>
      </c>
      <c r="H9" s="1" t="s">
        <v>24</v>
      </c>
      <c r="I9">
        <v>15</v>
      </c>
      <c r="J9">
        <v>16</v>
      </c>
      <c r="K9" s="1" t="s">
        <v>25</v>
      </c>
      <c r="L9" s="1" t="s">
        <v>32</v>
      </c>
      <c r="M9">
        <v>1</v>
      </c>
      <c r="N9">
        <v>0</v>
      </c>
      <c r="O9" s="1" t="s">
        <v>27</v>
      </c>
      <c r="P9">
        <v>1</v>
      </c>
      <c r="Q9">
        <v>1</v>
      </c>
      <c r="R9">
        <v>4</v>
      </c>
      <c r="S9">
        <v>14</v>
      </c>
      <c r="T9">
        <v>0</v>
      </c>
      <c r="U9">
        <v>0</v>
      </c>
      <c r="V9">
        <v>11.33</v>
      </c>
    </row>
    <row r="10" spans="1:22">
      <c r="A10" s="1" t="s">
        <v>44</v>
      </c>
      <c r="B10" s="1" t="s">
        <v>45</v>
      </c>
      <c r="C10" s="2">
        <v>46287</v>
      </c>
      <c r="D10" s="3">
        <v>0.29166666666666669</v>
      </c>
      <c r="E10">
        <v>107</v>
      </c>
      <c r="F10">
        <v>104</v>
      </c>
      <c r="G10">
        <v>6</v>
      </c>
      <c r="H10" s="1" t="s">
        <v>46</v>
      </c>
      <c r="I10">
        <v>18.5</v>
      </c>
      <c r="J10">
        <v>22</v>
      </c>
      <c r="K10" s="1" t="s">
        <v>47</v>
      </c>
      <c r="L10" s="1" t="s">
        <v>26</v>
      </c>
      <c r="M10">
        <v>0</v>
      </c>
      <c r="N10">
        <v>0</v>
      </c>
      <c r="O10" s="1" t="s">
        <v>27</v>
      </c>
      <c r="P10">
        <v>1</v>
      </c>
      <c r="Q10">
        <v>1</v>
      </c>
      <c r="R10">
        <v>4</v>
      </c>
      <c r="S10">
        <v>7</v>
      </c>
      <c r="T10">
        <v>0</v>
      </c>
      <c r="U10">
        <v>0</v>
      </c>
      <c r="V10">
        <v>5.78</v>
      </c>
    </row>
    <row r="11" spans="1:22">
      <c r="A11" s="1" t="s">
        <v>48</v>
      </c>
      <c r="B11" s="1" t="s">
        <v>29</v>
      </c>
      <c r="C11" s="2">
        <v>46269</v>
      </c>
      <c r="D11" s="3">
        <v>0.79166666666666663</v>
      </c>
      <c r="E11">
        <v>101</v>
      </c>
      <c r="F11">
        <v>101</v>
      </c>
      <c r="G11">
        <v>7</v>
      </c>
      <c r="H11" s="1" t="s">
        <v>30</v>
      </c>
      <c r="I11">
        <v>32</v>
      </c>
      <c r="J11">
        <v>14</v>
      </c>
      <c r="K11" s="1" t="s">
        <v>31</v>
      </c>
      <c r="L11" s="1" t="s">
        <v>49</v>
      </c>
      <c r="M11">
        <v>0</v>
      </c>
      <c r="N11">
        <v>0</v>
      </c>
      <c r="O11" s="1" t="s">
        <v>27</v>
      </c>
      <c r="P11">
        <v>1</v>
      </c>
      <c r="Q11">
        <v>1</v>
      </c>
      <c r="R11">
        <v>4</v>
      </c>
      <c r="S11">
        <v>19</v>
      </c>
      <c r="T11">
        <v>1</v>
      </c>
      <c r="U11">
        <v>0</v>
      </c>
      <c r="V11">
        <v>3.16</v>
      </c>
    </row>
    <row r="12" spans="1:22">
      <c r="A12" s="1" t="s">
        <v>50</v>
      </c>
      <c r="B12" s="1" t="s">
        <v>23</v>
      </c>
      <c r="C12" s="2">
        <v>46284</v>
      </c>
      <c r="D12" s="3">
        <v>0.48958333333333331</v>
      </c>
      <c r="E12">
        <v>131</v>
      </c>
      <c r="F12">
        <v>135</v>
      </c>
      <c r="G12">
        <v>5</v>
      </c>
      <c r="H12" s="1" t="s">
        <v>24</v>
      </c>
      <c r="I12">
        <v>15</v>
      </c>
      <c r="J12">
        <v>16</v>
      </c>
      <c r="K12" s="1" t="s">
        <v>25</v>
      </c>
      <c r="L12" s="1" t="s">
        <v>32</v>
      </c>
      <c r="M12">
        <v>1</v>
      </c>
      <c r="N12">
        <v>1</v>
      </c>
      <c r="O12" s="1" t="s">
        <v>27</v>
      </c>
      <c r="P12">
        <v>1</v>
      </c>
      <c r="Q12">
        <v>1</v>
      </c>
      <c r="R12">
        <v>2</v>
      </c>
      <c r="S12">
        <v>11</v>
      </c>
      <c r="T12">
        <v>0</v>
      </c>
      <c r="U12">
        <v>0</v>
      </c>
      <c r="V12">
        <v>8.73</v>
      </c>
    </row>
    <row r="13" spans="1:22">
      <c r="A13" s="1" t="s">
        <v>51</v>
      </c>
      <c r="B13" s="1" t="s">
        <v>29</v>
      </c>
      <c r="C13" s="2">
        <v>46285</v>
      </c>
      <c r="D13" s="3">
        <v>0.88541666666666663</v>
      </c>
      <c r="E13">
        <v>132</v>
      </c>
      <c r="F13">
        <v>125</v>
      </c>
      <c r="G13">
        <v>6</v>
      </c>
      <c r="H13" s="1" t="s">
        <v>30</v>
      </c>
      <c r="I13">
        <v>32</v>
      </c>
      <c r="J13">
        <v>14</v>
      </c>
      <c r="K13" s="1" t="s">
        <v>31</v>
      </c>
      <c r="L13" s="1" t="s">
        <v>38</v>
      </c>
      <c r="M13">
        <v>1</v>
      </c>
      <c r="N13">
        <v>0</v>
      </c>
      <c r="O13" s="1" t="s">
        <v>52</v>
      </c>
      <c r="P13">
        <v>1</v>
      </c>
      <c r="Q13">
        <v>1</v>
      </c>
      <c r="R13">
        <v>3</v>
      </c>
      <c r="S13">
        <v>21</v>
      </c>
      <c r="T13">
        <v>0</v>
      </c>
      <c r="U13">
        <v>1</v>
      </c>
      <c r="V13">
        <v>4.12</v>
      </c>
    </row>
    <row r="14" spans="1:22">
      <c r="A14" s="1" t="s">
        <v>53</v>
      </c>
      <c r="B14" s="1" t="s">
        <v>29</v>
      </c>
      <c r="C14" s="2">
        <v>46266</v>
      </c>
      <c r="D14" s="3">
        <v>0.40625</v>
      </c>
      <c r="E14">
        <v>41</v>
      </c>
      <c r="F14">
        <v>45</v>
      </c>
      <c r="G14">
        <v>4</v>
      </c>
      <c r="H14" s="1" t="s">
        <v>30</v>
      </c>
      <c r="I14">
        <v>32</v>
      </c>
      <c r="J14">
        <v>14</v>
      </c>
      <c r="K14" s="1" t="s">
        <v>31</v>
      </c>
      <c r="L14" s="1" t="s">
        <v>26</v>
      </c>
      <c r="M14">
        <v>0</v>
      </c>
      <c r="N14">
        <v>0</v>
      </c>
      <c r="O14" s="1" t="s">
        <v>27</v>
      </c>
      <c r="P14">
        <v>1</v>
      </c>
      <c r="Q14">
        <v>1</v>
      </c>
      <c r="R14">
        <v>22</v>
      </c>
      <c r="S14">
        <v>9</v>
      </c>
      <c r="T14">
        <v>1</v>
      </c>
      <c r="U14">
        <v>0</v>
      </c>
      <c r="V14">
        <v>1.28</v>
      </c>
    </row>
    <row r="15" spans="1:22">
      <c r="A15" s="1" t="s">
        <v>54</v>
      </c>
      <c r="B15" s="1" t="s">
        <v>34</v>
      </c>
      <c r="C15" s="2">
        <v>46285</v>
      </c>
      <c r="D15" s="3">
        <v>0.67708333333333337</v>
      </c>
      <c r="E15">
        <v>73</v>
      </c>
      <c r="F15">
        <v>79</v>
      </c>
      <c r="G15">
        <v>3</v>
      </c>
      <c r="H15" s="1" t="s">
        <v>35</v>
      </c>
      <c r="I15">
        <v>12.2</v>
      </c>
      <c r="J15">
        <v>18</v>
      </c>
      <c r="K15" s="1" t="s">
        <v>36</v>
      </c>
      <c r="L15" s="1" t="s">
        <v>38</v>
      </c>
      <c r="M15">
        <v>1</v>
      </c>
      <c r="N15">
        <v>0</v>
      </c>
      <c r="O15" s="1" t="s">
        <v>52</v>
      </c>
      <c r="P15">
        <v>1</v>
      </c>
      <c r="Q15">
        <v>1</v>
      </c>
      <c r="R15">
        <v>5</v>
      </c>
      <c r="S15">
        <v>16</v>
      </c>
      <c r="T15">
        <v>0</v>
      </c>
      <c r="U15">
        <v>1</v>
      </c>
      <c r="V15">
        <v>5.98</v>
      </c>
    </row>
    <row r="16" spans="1:22">
      <c r="A16" s="1" t="s">
        <v>55</v>
      </c>
      <c r="B16" s="1" t="s">
        <v>29</v>
      </c>
      <c r="C16" s="2">
        <v>46282</v>
      </c>
      <c r="D16" s="3">
        <v>0.91666666666666663</v>
      </c>
      <c r="E16">
        <v>95</v>
      </c>
      <c r="F16">
        <v>88</v>
      </c>
      <c r="G16">
        <v>3</v>
      </c>
      <c r="H16" s="1" t="s">
        <v>30</v>
      </c>
      <c r="I16">
        <v>32</v>
      </c>
      <c r="J16">
        <v>14</v>
      </c>
      <c r="K16" s="1" t="s">
        <v>31</v>
      </c>
      <c r="L16" s="1" t="s">
        <v>56</v>
      </c>
      <c r="M16">
        <v>0</v>
      </c>
      <c r="N16">
        <v>0</v>
      </c>
      <c r="O16" s="1" t="s">
        <v>27</v>
      </c>
      <c r="P16">
        <v>1</v>
      </c>
      <c r="Q16">
        <v>1</v>
      </c>
      <c r="R16">
        <v>2</v>
      </c>
      <c r="S16">
        <v>22</v>
      </c>
      <c r="T16">
        <v>0</v>
      </c>
      <c r="U16">
        <v>0</v>
      </c>
      <c r="V16">
        <v>2.97</v>
      </c>
    </row>
    <row r="17" spans="1:22">
      <c r="A17" s="1" t="s">
        <v>57</v>
      </c>
      <c r="B17" s="1" t="s">
        <v>29</v>
      </c>
      <c r="C17" s="2">
        <v>46277</v>
      </c>
      <c r="D17" s="3">
        <v>0.57291666666666663</v>
      </c>
      <c r="E17">
        <v>160</v>
      </c>
      <c r="F17">
        <v>149</v>
      </c>
      <c r="G17">
        <v>5</v>
      </c>
      <c r="H17" s="1" t="s">
        <v>30</v>
      </c>
      <c r="I17">
        <v>32</v>
      </c>
      <c r="J17">
        <v>14</v>
      </c>
      <c r="K17" s="1" t="s">
        <v>31</v>
      </c>
      <c r="L17" s="1" t="s">
        <v>32</v>
      </c>
      <c r="M17">
        <v>1</v>
      </c>
      <c r="N17">
        <v>0</v>
      </c>
      <c r="O17" s="1" t="s">
        <v>40</v>
      </c>
      <c r="P17">
        <v>1</v>
      </c>
      <c r="Q17">
        <v>1</v>
      </c>
      <c r="R17">
        <v>12</v>
      </c>
      <c r="S17">
        <v>13</v>
      </c>
      <c r="T17">
        <v>0</v>
      </c>
      <c r="U17">
        <v>1</v>
      </c>
      <c r="V17">
        <v>5</v>
      </c>
    </row>
    <row r="18" spans="1:22">
      <c r="A18" s="1" t="s">
        <v>58</v>
      </c>
      <c r="B18" s="1" t="s">
        <v>59</v>
      </c>
      <c r="C18" s="2">
        <v>46280</v>
      </c>
      <c r="D18" s="3">
        <v>0.28125</v>
      </c>
      <c r="E18">
        <v>15</v>
      </c>
      <c r="F18">
        <v>12</v>
      </c>
      <c r="G18">
        <v>5</v>
      </c>
      <c r="H18" s="1" t="s">
        <v>60</v>
      </c>
      <c r="I18">
        <v>24.8</v>
      </c>
      <c r="J18">
        <v>28</v>
      </c>
      <c r="K18" s="1" t="s">
        <v>61</v>
      </c>
      <c r="L18" s="1" t="s">
        <v>26</v>
      </c>
      <c r="M18">
        <v>0</v>
      </c>
      <c r="N18">
        <v>0</v>
      </c>
      <c r="O18" s="1" t="s">
        <v>27</v>
      </c>
      <c r="P18">
        <v>1</v>
      </c>
      <c r="Q18">
        <v>1</v>
      </c>
      <c r="R18">
        <v>6</v>
      </c>
      <c r="S18">
        <v>6</v>
      </c>
      <c r="T18">
        <v>0</v>
      </c>
      <c r="U18">
        <v>0</v>
      </c>
      <c r="V18">
        <v>0.6</v>
      </c>
    </row>
    <row r="19" spans="1:22">
      <c r="A19" s="1" t="s">
        <v>62</v>
      </c>
      <c r="B19" s="1" t="s">
        <v>34</v>
      </c>
      <c r="C19" s="2">
        <v>46266</v>
      </c>
      <c r="D19" s="3">
        <v>0.34375</v>
      </c>
      <c r="E19">
        <v>137</v>
      </c>
      <c r="F19">
        <v>130</v>
      </c>
      <c r="G19">
        <v>7</v>
      </c>
      <c r="H19" s="1" t="s">
        <v>35</v>
      </c>
      <c r="I19">
        <v>12.2</v>
      </c>
      <c r="J19">
        <v>18</v>
      </c>
      <c r="K19" s="1" t="s">
        <v>36</v>
      </c>
      <c r="L19" s="1" t="s">
        <v>26</v>
      </c>
      <c r="M19">
        <v>0</v>
      </c>
      <c r="N19">
        <v>0</v>
      </c>
      <c r="O19" s="1" t="s">
        <v>27</v>
      </c>
      <c r="P19">
        <v>1</v>
      </c>
      <c r="Q19">
        <v>1</v>
      </c>
      <c r="R19">
        <v>1</v>
      </c>
      <c r="S19">
        <v>8</v>
      </c>
      <c r="T19">
        <v>1</v>
      </c>
      <c r="U19">
        <v>0</v>
      </c>
      <c r="V19">
        <v>11.23</v>
      </c>
    </row>
    <row r="20" spans="1:22">
      <c r="A20" s="1" t="s">
        <v>63</v>
      </c>
      <c r="B20" s="1" t="s">
        <v>45</v>
      </c>
      <c r="C20" s="2">
        <v>46291</v>
      </c>
      <c r="D20" s="3">
        <v>0.80208333333333337</v>
      </c>
      <c r="E20">
        <v>82</v>
      </c>
      <c r="F20">
        <v>90</v>
      </c>
      <c r="G20">
        <v>3</v>
      </c>
      <c r="H20" s="1" t="s">
        <v>46</v>
      </c>
      <c r="I20">
        <v>18.5</v>
      </c>
      <c r="J20">
        <v>22</v>
      </c>
      <c r="K20" s="1" t="s">
        <v>47</v>
      </c>
      <c r="L20" s="1" t="s">
        <v>32</v>
      </c>
      <c r="M20">
        <v>1</v>
      </c>
      <c r="N20">
        <v>0</v>
      </c>
      <c r="O20" s="1" t="s">
        <v>27</v>
      </c>
      <c r="P20">
        <v>1</v>
      </c>
      <c r="Q20">
        <v>1</v>
      </c>
      <c r="R20">
        <v>0</v>
      </c>
      <c r="S20">
        <v>19</v>
      </c>
      <c r="T20">
        <v>1</v>
      </c>
      <c r="U20">
        <v>0</v>
      </c>
      <c r="V20">
        <v>4.43</v>
      </c>
    </row>
    <row r="21" spans="1:22">
      <c r="A21" s="1" t="s">
        <v>64</v>
      </c>
      <c r="B21" s="1" t="s">
        <v>29</v>
      </c>
      <c r="C21" s="2">
        <v>46279</v>
      </c>
      <c r="D21" s="3">
        <v>0.34375</v>
      </c>
      <c r="E21">
        <v>166</v>
      </c>
      <c r="F21">
        <v>176</v>
      </c>
      <c r="G21">
        <v>5</v>
      </c>
      <c r="H21" s="1" t="s">
        <v>30</v>
      </c>
      <c r="I21">
        <v>32</v>
      </c>
      <c r="J21">
        <v>14</v>
      </c>
      <c r="K21" s="1" t="s">
        <v>31</v>
      </c>
      <c r="L21" s="1" t="s">
        <v>65</v>
      </c>
      <c r="M21">
        <v>0</v>
      </c>
      <c r="N21">
        <v>0</v>
      </c>
      <c r="O21" s="1" t="s">
        <v>27</v>
      </c>
      <c r="P21">
        <v>1</v>
      </c>
      <c r="Q21">
        <v>1</v>
      </c>
      <c r="R21">
        <v>9</v>
      </c>
      <c r="S21">
        <v>8</v>
      </c>
      <c r="T21">
        <v>1</v>
      </c>
      <c r="U21">
        <v>0</v>
      </c>
      <c r="V21">
        <v>5.19</v>
      </c>
    </row>
    <row r="22" spans="1:22">
      <c r="A22" s="1" t="s">
        <v>66</v>
      </c>
      <c r="B22" s="1" t="s">
        <v>59</v>
      </c>
      <c r="C22" s="2">
        <v>46271</v>
      </c>
      <c r="D22" s="3">
        <v>0.46875</v>
      </c>
      <c r="E22">
        <v>28</v>
      </c>
      <c r="F22">
        <v>35</v>
      </c>
      <c r="G22">
        <v>3</v>
      </c>
      <c r="H22" s="1" t="s">
        <v>60</v>
      </c>
      <c r="I22">
        <v>24.8</v>
      </c>
      <c r="J22">
        <v>28</v>
      </c>
      <c r="K22" s="1" t="s">
        <v>61</v>
      </c>
      <c r="L22" s="1" t="s">
        <v>38</v>
      </c>
      <c r="M22">
        <v>1</v>
      </c>
      <c r="N22">
        <v>0</v>
      </c>
      <c r="O22" s="1" t="s">
        <v>27</v>
      </c>
      <c r="P22">
        <v>1</v>
      </c>
      <c r="Q22">
        <v>1</v>
      </c>
      <c r="R22">
        <v>1</v>
      </c>
      <c r="S22">
        <v>11</v>
      </c>
      <c r="T22">
        <v>0</v>
      </c>
      <c r="U22">
        <v>0</v>
      </c>
      <c r="V22">
        <v>1.1299999999999999</v>
      </c>
    </row>
    <row r="23" spans="1:22">
      <c r="A23" s="1" t="s">
        <v>67</v>
      </c>
      <c r="B23" s="1" t="s">
        <v>59</v>
      </c>
      <c r="C23" s="2">
        <v>46270</v>
      </c>
      <c r="D23" s="3">
        <v>0.6875</v>
      </c>
      <c r="E23">
        <v>196</v>
      </c>
      <c r="F23">
        <v>187</v>
      </c>
      <c r="G23">
        <v>7</v>
      </c>
      <c r="H23" s="1" t="s">
        <v>60</v>
      </c>
      <c r="I23">
        <v>24.8</v>
      </c>
      <c r="J23">
        <v>28</v>
      </c>
      <c r="K23" s="1" t="s">
        <v>61</v>
      </c>
      <c r="L23" s="1" t="s">
        <v>32</v>
      </c>
      <c r="M23">
        <v>1</v>
      </c>
      <c r="N23">
        <v>1</v>
      </c>
      <c r="O23" s="1" t="s">
        <v>27</v>
      </c>
      <c r="P23">
        <v>1</v>
      </c>
      <c r="Q23">
        <v>1</v>
      </c>
      <c r="R23">
        <v>10</v>
      </c>
      <c r="S23">
        <v>16</v>
      </c>
      <c r="T23">
        <v>0</v>
      </c>
      <c r="U23">
        <v>0</v>
      </c>
      <c r="V23">
        <v>7.9</v>
      </c>
    </row>
    <row r="24" spans="1:22">
      <c r="A24" s="1" t="s">
        <v>68</v>
      </c>
      <c r="B24" s="1" t="s">
        <v>45</v>
      </c>
      <c r="C24" s="2">
        <v>46295</v>
      </c>
      <c r="D24" s="3">
        <v>0.71875</v>
      </c>
      <c r="E24">
        <v>107</v>
      </c>
      <c r="F24">
        <v>108</v>
      </c>
      <c r="G24">
        <v>4</v>
      </c>
      <c r="H24" s="1" t="s">
        <v>46</v>
      </c>
      <c r="I24">
        <v>18.5</v>
      </c>
      <c r="J24">
        <v>22</v>
      </c>
      <c r="K24" s="1" t="s">
        <v>47</v>
      </c>
      <c r="L24" s="1" t="s">
        <v>69</v>
      </c>
      <c r="M24">
        <v>0</v>
      </c>
      <c r="N24">
        <v>0</v>
      </c>
      <c r="O24" s="1" t="s">
        <v>27</v>
      </c>
      <c r="P24">
        <v>1</v>
      </c>
      <c r="Q24">
        <v>1</v>
      </c>
      <c r="R24">
        <v>10</v>
      </c>
      <c r="S24">
        <v>17</v>
      </c>
      <c r="T24">
        <v>1</v>
      </c>
      <c r="U24">
        <v>0</v>
      </c>
      <c r="V24">
        <v>5.78</v>
      </c>
    </row>
    <row r="25" spans="1:22">
      <c r="A25" s="1" t="s">
        <v>70</v>
      </c>
      <c r="B25" s="1" t="s">
        <v>29</v>
      </c>
      <c r="C25" s="2">
        <v>46276</v>
      </c>
      <c r="D25" s="3">
        <v>0.5</v>
      </c>
      <c r="E25">
        <v>126</v>
      </c>
      <c r="F25">
        <v>134</v>
      </c>
      <c r="G25">
        <v>4</v>
      </c>
      <c r="H25" s="1" t="s">
        <v>30</v>
      </c>
      <c r="I25">
        <v>32</v>
      </c>
      <c r="J25">
        <v>14</v>
      </c>
      <c r="K25" s="1" t="s">
        <v>31</v>
      </c>
      <c r="L25" s="1" t="s">
        <v>49</v>
      </c>
      <c r="M25">
        <v>0</v>
      </c>
      <c r="N25">
        <v>0</v>
      </c>
      <c r="O25" s="1" t="s">
        <v>27</v>
      </c>
      <c r="P25">
        <v>1</v>
      </c>
      <c r="Q25">
        <v>1</v>
      </c>
      <c r="R25">
        <v>0</v>
      </c>
      <c r="S25">
        <v>12</v>
      </c>
      <c r="T25">
        <v>0</v>
      </c>
      <c r="U25">
        <v>0</v>
      </c>
      <c r="V25">
        <v>3.94</v>
      </c>
    </row>
    <row r="26" spans="1:22">
      <c r="A26" s="1" t="s">
        <v>71</v>
      </c>
      <c r="B26" s="1" t="s">
        <v>34</v>
      </c>
      <c r="C26" s="2">
        <v>46269</v>
      </c>
      <c r="D26" s="3">
        <v>0.79166666666666663</v>
      </c>
      <c r="E26">
        <v>126</v>
      </c>
      <c r="F26">
        <v>123</v>
      </c>
      <c r="G26">
        <v>6</v>
      </c>
      <c r="H26" s="1" t="s">
        <v>35</v>
      </c>
      <c r="I26">
        <v>12.2</v>
      </c>
      <c r="J26">
        <v>18</v>
      </c>
      <c r="K26" s="1" t="s">
        <v>36</v>
      </c>
      <c r="L26" s="1" t="s">
        <v>49</v>
      </c>
      <c r="M26">
        <v>0</v>
      </c>
      <c r="N26">
        <v>0</v>
      </c>
      <c r="O26" s="1" t="s">
        <v>27</v>
      </c>
      <c r="P26">
        <v>1</v>
      </c>
      <c r="Q26">
        <v>1</v>
      </c>
      <c r="R26">
        <v>4</v>
      </c>
      <c r="S26">
        <v>19</v>
      </c>
      <c r="T26">
        <v>1</v>
      </c>
      <c r="U26">
        <v>0</v>
      </c>
      <c r="V26">
        <v>10.33</v>
      </c>
    </row>
    <row r="27" spans="1:22">
      <c r="A27" s="1" t="s">
        <v>72</v>
      </c>
      <c r="B27" s="1" t="s">
        <v>45</v>
      </c>
      <c r="C27" s="2">
        <v>46278</v>
      </c>
      <c r="D27" s="3">
        <v>0.30208333333333331</v>
      </c>
      <c r="E27">
        <v>50</v>
      </c>
      <c r="F27">
        <v>52</v>
      </c>
      <c r="G27">
        <v>3</v>
      </c>
      <c r="H27" s="1" t="s">
        <v>46</v>
      </c>
      <c r="I27">
        <v>18.5</v>
      </c>
      <c r="J27">
        <v>22</v>
      </c>
      <c r="K27" s="1" t="s">
        <v>47</v>
      </c>
      <c r="L27" s="1" t="s">
        <v>38</v>
      </c>
      <c r="M27">
        <v>1</v>
      </c>
      <c r="N27">
        <v>0</v>
      </c>
      <c r="O27" s="1" t="s">
        <v>27</v>
      </c>
      <c r="P27">
        <v>1</v>
      </c>
      <c r="Q27">
        <v>1</v>
      </c>
      <c r="R27">
        <v>12</v>
      </c>
      <c r="S27">
        <v>7</v>
      </c>
      <c r="T27">
        <v>0</v>
      </c>
      <c r="U27">
        <v>0</v>
      </c>
      <c r="V27">
        <v>2.7</v>
      </c>
    </row>
    <row r="28" spans="1:22">
      <c r="A28" s="1" t="s">
        <v>73</v>
      </c>
      <c r="B28" s="1" t="s">
        <v>29</v>
      </c>
      <c r="C28" s="2">
        <v>46276</v>
      </c>
      <c r="D28" s="3">
        <v>0.53125</v>
      </c>
      <c r="E28">
        <v>51</v>
      </c>
      <c r="F28">
        <v>61</v>
      </c>
      <c r="G28">
        <v>3</v>
      </c>
      <c r="H28" s="1" t="s">
        <v>30</v>
      </c>
      <c r="I28">
        <v>32</v>
      </c>
      <c r="J28">
        <v>14</v>
      </c>
      <c r="K28" s="1" t="s">
        <v>31</v>
      </c>
      <c r="L28" s="1" t="s">
        <v>49</v>
      </c>
      <c r="M28">
        <v>0</v>
      </c>
      <c r="N28">
        <v>0</v>
      </c>
      <c r="O28" s="1" t="s">
        <v>27</v>
      </c>
      <c r="P28">
        <v>1</v>
      </c>
      <c r="Q28">
        <v>1</v>
      </c>
      <c r="R28">
        <v>2</v>
      </c>
      <c r="S28">
        <v>12</v>
      </c>
      <c r="T28">
        <v>0</v>
      </c>
      <c r="U28">
        <v>0</v>
      </c>
      <c r="V28">
        <v>1.59</v>
      </c>
    </row>
    <row r="29" spans="1:22">
      <c r="A29" s="1" t="s">
        <v>74</v>
      </c>
      <c r="B29" s="1" t="s">
        <v>45</v>
      </c>
      <c r="C29" s="2">
        <v>46268</v>
      </c>
      <c r="D29" s="3">
        <v>0.84375</v>
      </c>
      <c r="E29">
        <v>134</v>
      </c>
      <c r="F29">
        <v>131</v>
      </c>
      <c r="G29">
        <v>6</v>
      </c>
      <c r="H29" s="1" t="s">
        <v>46</v>
      </c>
      <c r="I29">
        <v>18.5</v>
      </c>
      <c r="J29">
        <v>22</v>
      </c>
      <c r="K29" s="1" t="s">
        <v>47</v>
      </c>
      <c r="L29" s="1" t="s">
        <v>56</v>
      </c>
      <c r="M29">
        <v>0</v>
      </c>
      <c r="N29">
        <v>0</v>
      </c>
      <c r="O29" s="1" t="s">
        <v>27</v>
      </c>
      <c r="P29">
        <v>1</v>
      </c>
      <c r="Q29">
        <v>1</v>
      </c>
      <c r="R29">
        <v>8</v>
      </c>
      <c r="S29">
        <v>20</v>
      </c>
      <c r="T29">
        <v>0</v>
      </c>
      <c r="U29">
        <v>0</v>
      </c>
      <c r="V29">
        <v>7.24</v>
      </c>
    </row>
    <row r="30" spans="1:22">
      <c r="A30" s="1" t="s">
        <v>75</v>
      </c>
      <c r="B30" s="1" t="s">
        <v>59</v>
      </c>
      <c r="C30" s="2">
        <v>46266</v>
      </c>
      <c r="D30" s="3">
        <v>0.61458333333333337</v>
      </c>
      <c r="E30">
        <v>107</v>
      </c>
      <c r="F30">
        <v>106</v>
      </c>
      <c r="G30">
        <v>4</v>
      </c>
      <c r="H30" s="1" t="s">
        <v>60</v>
      </c>
      <c r="I30">
        <v>24.8</v>
      </c>
      <c r="J30">
        <v>28</v>
      </c>
      <c r="K30" s="1" t="s">
        <v>61</v>
      </c>
      <c r="L30" s="1" t="s">
        <v>26</v>
      </c>
      <c r="M30">
        <v>0</v>
      </c>
      <c r="N30">
        <v>0</v>
      </c>
      <c r="O30" s="1" t="s">
        <v>27</v>
      </c>
      <c r="P30">
        <v>1</v>
      </c>
      <c r="Q30">
        <v>1</v>
      </c>
      <c r="R30">
        <v>7</v>
      </c>
      <c r="S30">
        <v>14</v>
      </c>
      <c r="T30">
        <v>0</v>
      </c>
      <c r="U30">
        <v>0</v>
      </c>
      <c r="V30">
        <v>4.3099999999999996</v>
      </c>
    </row>
    <row r="31" spans="1:22">
      <c r="A31" s="1" t="s">
        <v>76</v>
      </c>
      <c r="B31" s="1" t="s">
        <v>34</v>
      </c>
      <c r="C31" s="2">
        <v>46271</v>
      </c>
      <c r="D31" s="3">
        <v>0.76041666666666663</v>
      </c>
      <c r="E31">
        <v>105</v>
      </c>
      <c r="F31">
        <v>102</v>
      </c>
      <c r="G31">
        <v>6</v>
      </c>
      <c r="H31" s="1" t="s">
        <v>35</v>
      </c>
      <c r="I31">
        <v>12.2</v>
      </c>
      <c r="J31">
        <v>18</v>
      </c>
      <c r="K31" s="1" t="s">
        <v>36</v>
      </c>
      <c r="L31" s="1" t="s">
        <v>38</v>
      </c>
      <c r="M31">
        <v>1</v>
      </c>
      <c r="N31">
        <v>0</v>
      </c>
      <c r="O31" s="1" t="s">
        <v>27</v>
      </c>
      <c r="P31">
        <v>1</v>
      </c>
      <c r="Q31">
        <v>1</v>
      </c>
      <c r="R31">
        <v>0</v>
      </c>
      <c r="S31">
        <v>18</v>
      </c>
      <c r="T31">
        <v>1</v>
      </c>
      <c r="U31">
        <v>0</v>
      </c>
      <c r="V31">
        <v>8.61</v>
      </c>
    </row>
    <row r="32" spans="1:22">
      <c r="A32" s="1" t="s">
        <v>77</v>
      </c>
      <c r="B32" s="1" t="s">
        <v>29</v>
      </c>
      <c r="C32" s="2">
        <v>46283</v>
      </c>
      <c r="D32" s="3">
        <v>0.27083333333333331</v>
      </c>
      <c r="E32">
        <v>81</v>
      </c>
      <c r="F32">
        <v>81</v>
      </c>
      <c r="G32">
        <v>3</v>
      </c>
      <c r="H32" s="1" t="s">
        <v>30</v>
      </c>
      <c r="I32">
        <v>32</v>
      </c>
      <c r="J32">
        <v>14</v>
      </c>
      <c r="K32" s="1" t="s">
        <v>31</v>
      </c>
      <c r="L32" s="1" t="s">
        <v>49</v>
      </c>
      <c r="M32">
        <v>0</v>
      </c>
      <c r="N32">
        <v>0</v>
      </c>
      <c r="O32" s="1" t="s">
        <v>27</v>
      </c>
      <c r="P32">
        <v>1</v>
      </c>
      <c r="Q32">
        <v>1</v>
      </c>
      <c r="R32">
        <v>2</v>
      </c>
      <c r="S32">
        <v>6</v>
      </c>
      <c r="T32">
        <v>0</v>
      </c>
      <c r="U32">
        <v>0</v>
      </c>
      <c r="V32">
        <v>2.5299999999999998</v>
      </c>
    </row>
    <row r="33" spans="1:22">
      <c r="A33" s="1" t="s">
        <v>78</v>
      </c>
      <c r="B33" s="1" t="s">
        <v>45</v>
      </c>
      <c r="C33" s="2">
        <v>46289</v>
      </c>
      <c r="D33" s="3">
        <v>0.375</v>
      </c>
      <c r="E33">
        <v>84</v>
      </c>
      <c r="F33">
        <v>84</v>
      </c>
      <c r="G33">
        <v>4</v>
      </c>
      <c r="H33" s="1" t="s">
        <v>46</v>
      </c>
      <c r="I33">
        <v>18.5</v>
      </c>
      <c r="J33">
        <v>22</v>
      </c>
      <c r="K33" s="1" t="s">
        <v>47</v>
      </c>
      <c r="L33" s="1" t="s">
        <v>56</v>
      </c>
      <c r="M33">
        <v>0</v>
      </c>
      <c r="N33">
        <v>0</v>
      </c>
      <c r="O33" s="1" t="s">
        <v>27</v>
      </c>
      <c r="P33">
        <v>1</v>
      </c>
      <c r="Q33">
        <v>1</v>
      </c>
      <c r="R33">
        <v>1</v>
      </c>
      <c r="S33">
        <v>9</v>
      </c>
      <c r="T33">
        <v>1</v>
      </c>
      <c r="U33">
        <v>0</v>
      </c>
      <c r="V33">
        <v>4.54</v>
      </c>
    </row>
    <row r="34" spans="1:22">
      <c r="A34" s="1" t="s">
        <v>79</v>
      </c>
      <c r="B34" s="1" t="s">
        <v>45</v>
      </c>
      <c r="C34" s="2">
        <v>46275</v>
      </c>
      <c r="D34" s="3">
        <v>0.41666666666666669</v>
      </c>
      <c r="E34">
        <v>135</v>
      </c>
      <c r="F34">
        <v>136</v>
      </c>
      <c r="G34">
        <v>5</v>
      </c>
      <c r="H34" s="1" t="s">
        <v>46</v>
      </c>
      <c r="I34">
        <v>18.5</v>
      </c>
      <c r="J34">
        <v>22</v>
      </c>
      <c r="K34" s="1" t="s">
        <v>47</v>
      </c>
      <c r="L34" s="1" t="s">
        <v>56</v>
      </c>
      <c r="M34">
        <v>0</v>
      </c>
      <c r="N34">
        <v>0</v>
      </c>
      <c r="O34" s="1" t="s">
        <v>27</v>
      </c>
      <c r="P34">
        <v>1</v>
      </c>
      <c r="Q34">
        <v>1</v>
      </c>
      <c r="R34">
        <v>4</v>
      </c>
      <c r="S34">
        <v>10</v>
      </c>
      <c r="T34">
        <v>1</v>
      </c>
      <c r="U34">
        <v>0</v>
      </c>
      <c r="V34">
        <v>7.3</v>
      </c>
    </row>
    <row r="35" spans="1:22">
      <c r="A35" s="1" t="s">
        <v>80</v>
      </c>
      <c r="B35" s="1" t="s">
        <v>29</v>
      </c>
      <c r="C35" s="2">
        <v>46270</v>
      </c>
      <c r="D35" s="3">
        <v>0.55208333333333337</v>
      </c>
      <c r="E35">
        <v>114</v>
      </c>
      <c r="F35">
        <v>108</v>
      </c>
      <c r="G35">
        <v>5</v>
      </c>
      <c r="H35" s="1" t="s">
        <v>30</v>
      </c>
      <c r="I35">
        <v>32</v>
      </c>
      <c r="J35">
        <v>14</v>
      </c>
      <c r="K35" s="1" t="s">
        <v>31</v>
      </c>
      <c r="L35" s="1" t="s">
        <v>32</v>
      </c>
      <c r="M35">
        <v>1</v>
      </c>
      <c r="N35">
        <v>1</v>
      </c>
      <c r="O35" s="1" t="s">
        <v>27</v>
      </c>
      <c r="P35">
        <v>1</v>
      </c>
      <c r="Q35">
        <v>1</v>
      </c>
      <c r="R35">
        <v>3</v>
      </c>
      <c r="S35">
        <v>13</v>
      </c>
      <c r="T35">
        <v>0</v>
      </c>
      <c r="U35">
        <v>0</v>
      </c>
      <c r="V35">
        <v>3.56</v>
      </c>
    </row>
    <row r="36" spans="1:22">
      <c r="A36" s="1" t="s">
        <v>81</v>
      </c>
      <c r="B36" s="1" t="s">
        <v>29</v>
      </c>
      <c r="C36" s="2">
        <v>46288</v>
      </c>
      <c r="D36" s="3">
        <v>0.80208333333333337</v>
      </c>
      <c r="E36">
        <v>178</v>
      </c>
      <c r="F36">
        <v>174</v>
      </c>
      <c r="G36">
        <v>5</v>
      </c>
      <c r="H36" s="1" t="s">
        <v>30</v>
      </c>
      <c r="I36">
        <v>32</v>
      </c>
      <c r="J36">
        <v>14</v>
      </c>
      <c r="K36" s="1" t="s">
        <v>31</v>
      </c>
      <c r="L36" s="1" t="s">
        <v>69</v>
      </c>
      <c r="M36">
        <v>0</v>
      </c>
      <c r="N36">
        <v>0</v>
      </c>
      <c r="O36" s="1" t="s">
        <v>27</v>
      </c>
      <c r="P36">
        <v>1</v>
      </c>
      <c r="Q36">
        <v>1</v>
      </c>
      <c r="R36">
        <v>0</v>
      </c>
      <c r="S36">
        <v>19</v>
      </c>
      <c r="T36">
        <v>1</v>
      </c>
      <c r="U36">
        <v>0</v>
      </c>
      <c r="V36">
        <v>5.56</v>
      </c>
    </row>
    <row r="37" spans="1:22">
      <c r="A37" s="1" t="s">
        <v>82</v>
      </c>
      <c r="B37" s="1" t="s">
        <v>23</v>
      </c>
      <c r="C37" s="2">
        <v>46275</v>
      </c>
      <c r="D37" s="3">
        <v>0.45833333333333331</v>
      </c>
      <c r="E37">
        <v>77</v>
      </c>
      <c r="F37">
        <v>76</v>
      </c>
      <c r="G37">
        <v>3</v>
      </c>
      <c r="H37" s="1" t="s">
        <v>24</v>
      </c>
      <c r="I37">
        <v>15</v>
      </c>
      <c r="J37">
        <v>16</v>
      </c>
      <c r="K37" s="1" t="s">
        <v>25</v>
      </c>
      <c r="L37" s="1" t="s">
        <v>56</v>
      </c>
      <c r="M37">
        <v>0</v>
      </c>
      <c r="N37">
        <v>0</v>
      </c>
      <c r="O37" s="1" t="s">
        <v>27</v>
      </c>
      <c r="P37">
        <v>1</v>
      </c>
      <c r="Q37">
        <v>1</v>
      </c>
      <c r="R37">
        <v>4</v>
      </c>
      <c r="S37">
        <v>11</v>
      </c>
      <c r="T37">
        <v>0</v>
      </c>
      <c r="U37">
        <v>0</v>
      </c>
      <c r="V37">
        <v>5.13</v>
      </c>
    </row>
    <row r="38" spans="1:22">
      <c r="A38" s="1" t="s">
        <v>83</v>
      </c>
      <c r="B38" s="1" t="s">
        <v>45</v>
      </c>
      <c r="C38" s="2">
        <v>46277</v>
      </c>
      <c r="D38" s="3">
        <v>0.27083333333333331</v>
      </c>
      <c r="E38">
        <v>155</v>
      </c>
      <c r="F38">
        <v>158</v>
      </c>
      <c r="G38">
        <v>6</v>
      </c>
      <c r="H38" s="1" t="s">
        <v>46</v>
      </c>
      <c r="I38">
        <v>18.5</v>
      </c>
      <c r="J38">
        <v>22</v>
      </c>
      <c r="K38" s="1" t="s">
        <v>47</v>
      </c>
      <c r="L38" s="1" t="s">
        <v>32</v>
      </c>
      <c r="M38">
        <v>1</v>
      </c>
      <c r="N38">
        <v>0</v>
      </c>
      <c r="O38" s="1" t="s">
        <v>40</v>
      </c>
      <c r="P38">
        <v>1</v>
      </c>
      <c r="Q38">
        <v>1</v>
      </c>
      <c r="R38">
        <v>4</v>
      </c>
      <c r="S38">
        <v>6</v>
      </c>
      <c r="T38">
        <v>0</v>
      </c>
      <c r="U38">
        <v>1</v>
      </c>
      <c r="V38">
        <v>8.3800000000000008</v>
      </c>
    </row>
    <row r="39" spans="1:22">
      <c r="A39" s="1" t="s">
        <v>84</v>
      </c>
      <c r="B39" s="1" t="s">
        <v>29</v>
      </c>
      <c r="C39" s="2">
        <v>46267</v>
      </c>
      <c r="D39" s="3">
        <v>0.41666666666666669</v>
      </c>
      <c r="E39">
        <v>87</v>
      </c>
      <c r="F39">
        <v>81</v>
      </c>
      <c r="G39">
        <v>3</v>
      </c>
      <c r="H39" s="1" t="s">
        <v>30</v>
      </c>
      <c r="I39">
        <v>32</v>
      </c>
      <c r="J39">
        <v>14</v>
      </c>
      <c r="K39" s="1" t="s">
        <v>31</v>
      </c>
      <c r="L39" s="1" t="s">
        <v>69</v>
      </c>
      <c r="M39">
        <v>0</v>
      </c>
      <c r="N39">
        <v>0</v>
      </c>
      <c r="O39" s="1" t="s">
        <v>27</v>
      </c>
      <c r="P39">
        <v>1</v>
      </c>
      <c r="Q39">
        <v>1</v>
      </c>
      <c r="R39">
        <v>3</v>
      </c>
      <c r="S39">
        <v>10</v>
      </c>
      <c r="T39">
        <v>1</v>
      </c>
      <c r="U39">
        <v>0</v>
      </c>
      <c r="V39">
        <v>2.72</v>
      </c>
    </row>
    <row r="40" spans="1:22">
      <c r="A40" s="1" t="s">
        <v>85</v>
      </c>
      <c r="B40" s="1" t="s">
        <v>29</v>
      </c>
      <c r="C40" s="2">
        <v>46278</v>
      </c>
      <c r="D40" s="3">
        <v>0.27083333333333331</v>
      </c>
      <c r="E40">
        <v>48</v>
      </c>
      <c r="F40">
        <v>47</v>
      </c>
      <c r="G40">
        <v>4</v>
      </c>
      <c r="H40" s="1" t="s">
        <v>30</v>
      </c>
      <c r="I40">
        <v>32</v>
      </c>
      <c r="J40">
        <v>14</v>
      </c>
      <c r="K40" s="1" t="s">
        <v>31</v>
      </c>
      <c r="L40" s="1" t="s">
        <v>38</v>
      </c>
      <c r="M40">
        <v>1</v>
      </c>
      <c r="N40">
        <v>0</v>
      </c>
      <c r="O40" s="1" t="s">
        <v>27</v>
      </c>
      <c r="P40">
        <v>1</v>
      </c>
      <c r="Q40">
        <v>1</v>
      </c>
      <c r="R40">
        <v>4</v>
      </c>
      <c r="S40">
        <v>6</v>
      </c>
      <c r="T40">
        <v>0</v>
      </c>
      <c r="U40">
        <v>0</v>
      </c>
      <c r="V40">
        <v>1.5</v>
      </c>
    </row>
    <row r="41" spans="1:22">
      <c r="A41" s="1" t="s">
        <v>86</v>
      </c>
      <c r="B41" s="1" t="s">
        <v>23</v>
      </c>
      <c r="C41" s="2">
        <v>46273</v>
      </c>
      <c r="D41" s="3">
        <v>0.375</v>
      </c>
      <c r="E41">
        <v>115</v>
      </c>
      <c r="F41">
        <v>114</v>
      </c>
      <c r="G41">
        <v>6</v>
      </c>
      <c r="H41" s="1" t="s">
        <v>24</v>
      </c>
      <c r="I41">
        <v>15</v>
      </c>
      <c r="J41">
        <v>16</v>
      </c>
      <c r="K41" s="1" t="s">
        <v>25</v>
      </c>
      <c r="L41" s="1" t="s">
        <v>26</v>
      </c>
      <c r="M41">
        <v>0</v>
      </c>
      <c r="N41">
        <v>0</v>
      </c>
      <c r="O41" s="1" t="s">
        <v>27</v>
      </c>
      <c r="P41">
        <v>1</v>
      </c>
      <c r="Q41">
        <v>1</v>
      </c>
      <c r="R41">
        <v>0</v>
      </c>
      <c r="S41">
        <v>9</v>
      </c>
      <c r="T41">
        <v>1</v>
      </c>
      <c r="U41">
        <v>0</v>
      </c>
      <c r="V41">
        <v>7.67</v>
      </c>
    </row>
    <row r="42" spans="1:22">
      <c r="A42" s="1" t="s">
        <v>87</v>
      </c>
      <c r="B42" s="1" t="s">
        <v>59</v>
      </c>
      <c r="C42" s="2">
        <v>46267</v>
      </c>
      <c r="D42" s="3">
        <v>0.23958333333333334</v>
      </c>
      <c r="E42">
        <v>87</v>
      </c>
      <c r="F42">
        <v>77</v>
      </c>
      <c r="G42">
        <v>5</v>
      </c>
      <c r="H42" s="1" t="s">
        <v>60</v>
      </c>
      <c r="I42">
        <v>24.8</v>
      </c>
      <c r="J42">
        <v>28</v>
      </c>
      <c r="K42" s="1" t="s">
        <v>61</v>
      </c>
      <c r="L42" s="1" t="s">
        <v>69</v>
      </c>
      <c r="M42">
        <v>0</v>
      </c>
      <c r="N42">
        <v>0</v>
      </c>
      <c r="O42" s="1" t="s">
        <v>27</v>
      </c>
      <c r="P42">
        <v>1</v>
      </c>
      <c r="Q42">
        <v>1</v>
      </c>
      <c r="R42">
        <v>19</v>
      </c>
      <c r="S42">
        <v>5</v>
      </c>
      <c r="T42">
        <v>0</v>
      </c>
      <c r="U42">
        <v>0</v>
      </c>
      <c r="V42">
        <v>3.51</v>
      </c>
    </row>
    <row r="43" spans="1:22">
      <c r="A43" s="1" t="s">
        <v>88</v>
      </c>
      <c r="B43" s="1" t="s">
        <v>59</v>
      </c>
      <c r="C43" s="2">
        <v>46285</v>
      </c>
      <c r="D43" s="3">
        <v>0.69791666666666663</v>
      </c>
      <c r="E43">
        <v>63</v>
      </c>
      <c r="F43">
        <v>65</v>
      </c>
      <c r="G43">
        <v>5</v>
      </c>
      <c r="H43" s="1" t="s">
        <v>60</v>
      </c>
      <c r="I43">
        <v>24.8</v>
      </c>
      <c r="J43">
        <v>28</v>
      </c>
      <c r="K43" s="1" t="s">
        <v>61</v>
      </c>
      <c r="L43" s="1" t="s">
        <v>38</v>
      </c>
      <c r="M43">
        <v>1</v>
      </c>
      <c r="N43">
        <v>0</v>
      </c>
      <c r="O43" s="1" t="s">
        <v>52</v>
      </c>
      <c r="P43">
        <v>1</v>
      </c>
      <c r="Q43">
        <v>1</v>
      </c>
      <c r="R43">
        <v>1</v>
      </c>
      <c r="S43">
        <v>16</v>
      </c>
      <c r="T43">
        <v>0</v>
      </c>
      <c r="U43">
        <v>1</v>
      </c>
      <c r="V43">
        <v>2.54</v>
      </c>
    </row>
    <row r="44" spans="1:22">
      <c r="A44" s="1" t="s">
        <v>89</v>
      </c>
      <c r="B44" s="1" t="s">
        <v>23</v>
      </c>
      <c r="C44" s="2">
        <v>46266</v>
      </c>
      <c r="D44" s="3">
        <v>0.33333333333333331</v>
      </c>
      <c r="E44">
        <v>157</v>
      </c>
      <c r="F44">
        <v>151</v>
      </c>
      <c r="G44">
        <v>4</v>
      </c>
      <c r="H44" s="1" t="s">
        <v>24</v>
      </c>
      <c r="I44">
        <v>15</v>
      </c>
      <c r="J44">
        <v>16</v>
      </c>
      <c r="K44" s="1" t="s">
        <v>25</v>
      </c>
      <c r="L44" s="1" t="s">
        <v>26</v>
      </c>
      <c r="M44">
        <v>0</v>
      </c>
      <c r="N44">
        <v>0</v>
      </c>
      <c r="O44" s="1" t="s">
        <v>27</v>
      </c>
      <c r="P44">
        <v>1</v>
      </c>
      <c r="Q44">
        <v>1</v>
      </c>
      <c r="R44">
        <v>4</v>
      </c>
      <c r="S44">
        <v>8</v>
      </c>
      <c r="T44">
        <v>1</v>
      </c>
      <c r="U44">
        <v>0</v>
      </c>
      <c r="V44">
        <v>10.47</v>
      </c>
    </row>
    <row r="45" spans="1:22">
      <c r="A45" s="1" t="s">
        <v>90</v>
      </c>
      <c r="B45" s="1" t="s">
        <v>59</v>
      </c>
      <c r="C45" s="2">
        <v>46270</v>
      </c>
      <c r="D45" s="3">
        <v>0.8125</v>
      </c>
      <c r="E45">
        <v>174</v>
      </c>
      <c r="F45">
        <v>170</v>
      </c>
      <c r="G45">
        <v>6</v>
      </c>
      <c r="H45" s="1" t="s">
        <v>60</v>
      </c>
      <c r="I45">
        <v>24.8</v>
      </c>
      <c r="J45">
        <v>28</v>
      </c>
      <c r="K45" s="1" t="s">
        <v>61</v>
      </c>
      <c r="L45" s="1" t="s">
        <v>32</v>
      </c>
      <c r="M45">
        <v>1</v>
      </c>
      <c r="N45">
        <v>1</v>
      </c>
      <c r="O45" s="1" t="s">
        <v>27</v>
      </c>
      <c r="P45">
        <v>1</v>
      </c>
      <c r="Q45">
        <v>1</v>
      </c>
      <c r="R45">
        <v>4</v>
      </c>
      <c r="S45">
        <v>19</v>
      </c>
      <c r="T45">
        <v>1</v>
      </c>
      <c r="U45">
        <v>0</v>
      </c>
      <c r="V45">
        <v>7.02</v>
      </c>
    </row>
    <row r="46" spans="1:22">
      <c r="A46" s="1" t="s">
        <v>91</v>
      </c>
      <c r="B46" s="1" t="s">
        <v>29</v>
      </c>
      <c r="C46" s="2">
        <v>46274</v>
      </c>
      <c r="D46" s="3">
        <v>0.63541666666666663</v>
      </c>
      <c r="E46">
        <v>168</v>
      </c>
      <c r="F46">
        <v>174</v>
      </c>
      <c r="G46">
        <v>6</v>
      </c>
      <c r="H46" s="1" t="s">
        <v>30</v>
      </c>
      <c r="I46">
        <v>32</v>
      </c>
      <c r="J46">
        <v>14</v>
      </c>
      <c r="K46" s="1" t="s">
        <v>31</v>
      </c>
      <c r="L46" s="1" t="s">
        <v>69</v>
      </c>
      <c r="M46">
        <v>0</v>
      </c>
      <c r="N46">
        <v>0</v>
      </c>
      <c r="O46" s="1" t="s">
        <v>27</v>
      </c>
      <c r="P46">
        <v>1</v>
      </c>
      <c r="Q46">
        <v>1</v>
      </c>
      <c r="R46">
        <v>4</v>
      </c>
      <c r="S46">
        <v>15</v>
      </c>
      <c r="T46">
        <v>0</v>
      </c>
      <c r="U46">
        <v>0</v>
      </c>
      <c r="V46">
        <v>5.25</v>
      </c>
    </row>
    <row r="47" spans="1:22">
      <c r="A47" s="1" t="s">
        <v>92</v>
      </c>
      <c r="B47" s="1" t="s">
        <v>29</v>
      </c>
      <c r="C47" s="2">
        <v>46282</v>
      </c>
      <c r="D47" s="3">
        <v>0.30208333333333331</v>
      </c>
      <c r="E47">
        <v>92</v>
      </c>
      <c r="F47">
        <v>90</v>
      </c>
      <c r="G47">
        <v>3</v>
      </c>
      <c r="H47" s="1" t="s">
        <v>30</v>
      </c>
      <c r="I47">
        <v>32</v>
      </c>
      <c r="J47">
        <v>14</v>
      </c>
      <c r="K47" s="1" t="s">
        <v>31</v>
      </c>
      <c r="L47" s="1" t="s">
        <v>56</v>
      </c>
      <c r="M47">
        <v>0</v>
      </c>
      <c r="N47">
        <v>0</v>
      </c>
      <c r="O47" s="1" t="s">
        <v>27</v>
      </c>
      <c r="P47">
        <v>1</v>
      </c>
      <c r="Q47">
        <v>1</v>
      </c>
      <c r="R47">
        <v>10</v>
      </c>
      <c r="S47">
        <v>7</v>
      </c>
      <c r="T47">
        <v>0</v>
      </c>
      <c r="U47">
        <v>0</v>
      </c>
      <c r="V47">
        <v>2.88</v>
      </c>
    </row>
    <row r="48" spans="1:22">
      <c r="A48" s="1" t="s">
        <v>93</v>
      </c>
      <c r="B48" s="1" t="s">
        <v>23</v>
      </c>
      <c r="C48" s="2">
        <v>46274</v>
      </c>
      <c r="D48" s="3">
        <v>0.78125</v>
      </c>
      <c r="E48">
        <v>110</v>
      </c>
      <c r="F48">
        <v>101</v>
      </c>
      <c r="G48">
        <v>7</v>
      </c>
      <c r="H48" s="1" t="s">
        <v>24</v>
      </c>
      <c r="I48">
        <v>15</v>
      </c>
      <c r="J48">
        <v>16</v>
      </c>
      <c r="K48" s="1" t="s">
        <v>25</v>
      </c>
      <c r="L48" s="1" t="s">
        <v>69</v>
      </c>
      <c r="M48">
        <v>0</v>
      </c>
      <c r="N48">
        <v>0</v>
      </c>
      <c r="O48" s="1" t="s">
        <v>27</v>
      </c>
      <c r="P48">
        <v>1</v>
      </c>
      <c r="Q48">
        <v>1</v>
      </c>
      <c r="R48">
        <v>2</v>
      </c>
      <c r="S48">
        <v>18</v>
      </c>
      <c r="T48">
        <v>1</v>
      </c>
      <c r="U48">
        <v>0</v>
      </c>
      <c r="V48">
        <v>7.33</v>
      </c>
    </row>
    <row r="49" spans="1:22">
      <c r="A49" s="1" t="s">
        <v>94</v>
      </c>
      <c r="B49" s="1" t="s">
        <v>29</v>
      </c>
      <c r="C49" s="2">
        <v>46276</v>
      </c>
      <c r="D49" s="3">
        <v>0.58333333333333337</v>
      </c>
      <c r="E49">
        <v>129</v>
      </c>
      <c r="F49">
        <v>140</v>
      </c>
      <c r="G49">
        <v>5</v>
      </c>
      <c r="H49" s="1" t="s">
        <v>30</v>
      </c>
      <c r="I49">
        <v>32</v>
      </c>
      <c r="J49">
        <v>14</v>
      </c>
      <c r="K49" s="1" t="s">
        <v>31</v>
      </c>
      <c r="L49" s="1" t="s">
        <v>49</v>
      </c>
      <c r="M49">
        <v>0</v>
      </c>
      <c r="N49">
        <v>0</v>
      </c>
      <c r="O49" s="1" t="s">
        <v>27</v>
      </c>
      <c r="P49">
        <v>1</v>
      </c>
      <c r="Q49">
        <v>1</v>
      </c>
      <c r="R49">
        <v>4</v>
      </c>
      <c r="S49">
        <v>14</v>
      </c>
      <c r="T49">
        <v>0</v>
      </c>
      <c r="U49">
        <v>0</v>
      </c>
      <c r="V49">
        <v>4.03</v>
      </c>
    </row>
    <row r="50" spans="1:22">
      <c r="A50" s="1" t="s">
        <v>95</v>
      </c>
      <c r="B50" s="1" t="s">
        <v>45</v>
      </c>
      <c r="C50" s="2">
        <v>46280</v>
      </c>
      <c r="D50" s="3">
        <v>0.61458333333333337</v>
      </c>
      <c r="E50">
        <v>97</v>
      </c>
      <c r="F50">
        <v>86</v>
      </c>
      <c r="G50">
        <v>3</v>
      </c>
      <c r="H50" s="1" t="s">
        <v>46</v>
      </c>
      <c r="I50">
        <v>18.5</v>
      </c>
      <c r="J50">
        <v>22</v>
      </c>
      <c r="K50" s="1" t="s">
        <v>47</v>
      </c>
      <c r="L50" s="1" t="s">
        <v>26</v>
      </c>
      <c r="M50">
        <v>0</v>
      </c>
      <c r="N50">
        <v>0</v>
      </c>
      <c r="O50" s="1" t="s">
        <v>27</v>
      </c>
      <c r="P50">
        <v>1</v>
      </c>
      <c r="Q50">
        <v>1</v>
      </c>
      <c r="R50">
        <v>3</v>
      </c>
      <c r="S50">
        <v>14</v>
      </c>
      <c r="T50">
        <v>0</v>
      </c>
      <c r="U50">
        <v>0</v>
      </c>
      <c r="V50">
        <v>5.24</v>
      </c>
    </row>
    <row r="51" spans="1:22">
      <c r="A51" s="1" t="s">
        <v>96</v>
      </c>
      <c r="B51" s="1" t="s">
        <v>29</v>
      </c>
      <c r="C51" s="2">
        <v>46289</v>
      </c>
      <c r="D51" s="3">
        <v>0.54166666666666663</v>
      </c>
      <c r="E51">
        <v>131</v>
      </c>
      <c r="F51">
        <v>137</v>
      </c>
      <c r="G51">
        <v>4</v>
      </c>
      <c r="H51" s="1" t="s">
        <v>30</v>
      </c>
      <c r="I51">
        <v>32</v>
      </c>
      <c r="J51">
        <v>14</v>
      </c>
      <c r="K51" s="1" t="s">
        <v>31</v>
      </c>
      <c r="L51" s="1" t="s">
        <v>56</v>
      </c>
      <c r="M51">
        <v>0</v>
      </c>
      <c r="N51">
        <v>0</v>
      </c>
      <c r="O51" s="1" t="s">
        <v>27</v>
      </c>
      <c r="P51">
        <v>1</v>
      </c>
      <c r="Q51">
        <v>1</v>
      </c>
      <c r="R51">
        <v>4</v>
      </c>
      <c r="S51">
        <v>13</v>
      </c>
      <c r="T51">
        <v>0</v>
      </c>
      <c r="U51">
        <v>0</v>
      </c>
      <c r="V51">
        <v>4.09</v>
      </c>
    </row>
    <row r="52" spans="1:22">
      <c r="A52" s="1" t="s">
        <v>97</v>
      </c>
      <c r="B52" s="1" t="s">
        <v>34</v>
      </c>
      <c r="C52" s="2">
        <v>46271</v>
      </c>
      <c r="D52" s="3">
        <v>0.40625</v>
      </c>
      <c r="E52">
        <v>143</v>
      </c>
      <c r="F52">
        <v>144</v>
      </c>
      <c r="G52">
        <v>6</v>
      </c>
      <c r="H52" s="1" t="s">
        <v>35</v>
      </c>
      <c r="I52">
        <v>12.2</v>
      </c>
      <c r="J52">
        <v>18</v>
      </c>
      <c r="K52" s="1" t="s">
        <v>36</v>
      </c>
      <c r="L52" s="1" t="s">
        <v>38</v>
      </c>
      <c r="M52">
        <v>1</v>
      </c>
      <c r="N52">
        <v>0</v>
      </c>
      <c r="O52" s="1" t="s">
        <v>27</v>
      </c>
      <c r="P52">
        <v>1</v>
      </c>
      <c r="Q52">
        <v>1</v>
      </c>
      <c r="R52">
        <v>5</v>
      </c>
      <c r="S52">
        <v>9</v>
      </c>
      <c r="T52">
        <v>1</v>
      </c>
      <c r="U52">
        <v>0</v>
      </c>
      <c r="V52">
        <v>11.72</v>
      </c>
    </row>
    <row r="53" spans="1:22">
      <c r="A53" s="1" t="s">
        <v>98</v>
      </c>
      <c r="B53" s="1" t="s">
        <v>29</v>
      </c>
      <c r="C53" s="2">
        <v>46288</v>
      </c>
      <c r="D53" s="3">
        <v>0.52083333333333337</v>
      </c>
      <c r="E53">
        <v>34</v>
      </c>
      <c r="F53">
        <v>34</v>
      </c>
      <c r="G53">
        <v>3</v>
      </c>
      <c r="H53" s="1" t="s">
        <v>30</v>
      </c>
      <c r="I53">
        <v>32</v>
      </c>
      <c r="J53">
        <v>14</v>
      </c>
      <c r="K53" s="1" t="s">
        <v>31</v>
      </c>
      <c r="L53" s="1" t="s">
        <v>69</v>
      </c>
      <c r="M53">
        <v>0</v>
      </c>
      <c r="N53">
        <v>0</v>
      </c>
      <c r="O53" s="1" t="s">
        <v>27</v>
      </c>
      <c r="P53">
        <v>1</v>
      </c>
      <c r="Q53">
        <v>1</v>
      </c>
      <c r="R53">
        <v>6</v>
      </c>
      <c r="S53">
        <v>12</v>
      </c>
      <c r="T53">
        <v>0</v>
      </c>
      <c r="U53">
        <v>0</v>
      </c>
      <c r="V53">
        <v>1.06</v>
      </c>
    </row>
    <row r="54" spans="1:22">
      <c r="A54" s="1" t="s">
        <v>99</v>
      </c>
      <c r="B54" s="1" t="s">
        <v>23</v>
      </c>
      <c r="C54" s="2">
        <v>46268</v>
      </c>
      <c r="D54" s="3">
        <v>0.66666666666666663</v>
      </c>
      <c r="E54">
        <v>71</v>
      </c>
      <c r="F54">
        <v>71</v>
      </c>
      <c r="G54">
        <v>3</v>
      </c>
      <c r="H54" s="1" t="s">
        <v>24</v>
      </c>
      <c r="I54">
        <v>15</v>
      </c>
      <c r="J54">
        <v>16</v>
      </c>
      <c r="K54" s="1" t="s">
        <v>25</v>
      </c>
      <c r="L54" s="1" t="s">
        <v>56</v>
      </c>
      <c r="M54">
        <v>0</v>
      </c>
      <c r="N54">
        <v>0</v>
      </c>
      <c r="O54" s="1" t="s">
        <v>27</v>
      </c>
      <c r="P54">
        <v>1</v>
      </c>
      <c r="Q54">
        <v>1</v>
      </c>
      <c r="R54">
        <v>0</v>
      </c>
      <c r="S54">
        <v>16</v>
      </c>
      <c r="T54">
        <v>0</v>
      </c>
      <c r="U54">
        <v>0</v>
      </c>
      <c r="V54">
        <v>4.7300000000000004</v>
      </c>
    </row>
    <row r="55" spans="1:22">
      <c r="A55" s="1" t="s">
        <v>100</v>
      </c>
      <c r="B55" s="1" t="s">
        <v>34</v>
      </c>
      <c r="C55" s="2">
        <v>46295</v>
      </c>
      <c r="D55" s="3">
        <v>0.625</v>
      </c>
      <c r="E55">
        <v>132</v>
      </c>
      <c r="F55">
        <v>134</v>
      </c>
      <c r="G55">
        <v>5</v>
      </c>
      <c r="H55" s="1" t="s">
        <v>35</v>
      </c>
      <c r="I55">
        <v>12.2</v>
      </c>
      <c r="J55">
        <v>18</v>
      </c>
      <c r="K55" s="1" t="s">
        <v>36</v>
      </c>
      <c r="L55" s="1" t="s">
        <v>69</v>
      </c>
      <c r="M55">
        <v>0</v>
      </c>
      <c r="N55">
        <v>0</v>
      </c>
      <c r="O55" s="1" t="s">
        <v>27</v>
      </c>
      <c r="P55">
        <v>1</v>
      </c>
      <c r="Q55">
        <v>1</v>
      </c>
      <c r="R55">
        <v>10</v>
      </c>
      <c r="S55">
        <v>15</v>
      </c>
      <c r="T55">
        <v>0</v>
      </c>
      <c r="U55">
        <v>0</v>
      </c>
      <c r="V55">
        <v>10.82</v>
      </c>
    </row>
    <row r="56" spans="1:22">
      <c r="A56" s="1" t="s">
        <v>101</v>
      </c>
      <c r="B56" s="1" t="s">
        <v>45</v>
      </c>
      <c r="C56" s="2">
        <v>46282</v>
      </c>
      <c r="D56" s="3">
        <v>0.79166666666666663</v>
      </c>
      <c r="E56">
        <v>144</v>
      </c>
      <c r="F56">
        <v>145</v>
      </c>
      <c r="G56">
        <v>5</v>
      </c>
      <c r="H56" s="1" t="s">
        <v>46</v>
      </c>
      <c r="I56">
        <v>18.5</v>
      </c>
      <c r="J56">
        <v>22</v>
      </c>
      <c r="K56" s="1" t="s">
        <v>47</v>
      </c>
      <c r="L56" s="1" t="s">
        <v>56</v>
      </c>
      <c r="M56">
        <v>0</v>
      </c>
      <c r="N56">
        <v>0</v>
      </c>
      <c r="O56" s="1" t="s">
        <v>27</v>
      </c>
      <c r="P56">
        <v>1</v>
      </c>
      <c r="Q56">
        <v>1</v>
      </c>
      <c r="R56">
        <v>4</v>
      </c>
      <c r="S56">
        <v>19</v>
      </c>
      <c r="T56">
        <v>1</v>
      </c>
      <c r="U56">
        <v>0</v>
      </c>
      <c r="V56">
        <v>7.78</v>
      </c>
    </row>
    <row r="57" spans="1:22">
      <c r="A57" s="1" t="s">
        <v>102</v>
      </c>
      <c r="B57" s="1" t="s">
        <v>23</v>
      </c>
      <c r="C57" s="2">
        <v>46270</v>
      </c>
      <c r="D57" s="3">
        <v>0.66666666666666663</v>
      </c>
      <c r="E57">
        <v>119</v>
      </c>
      <c r="F57">
        <v>127</v>
      </c>
      <c r="G57">
        <v>7</v>
      </c>
      <c r="H57" s="1" t="s">
        <v>24</v>
      </c>
      <c r="I57">
        <v>15</v>
      </c>
      <c r="J57">
        <v>16</v>
      </c>
      <c r="K57" s="1" t="s">
        <v>25</v>
      </c>
      <c r="L57" s="1" t="s">
        <v>32</v>
      </c>
      <c r="M57">
        <v>1</v>
      </c>
      <c r="N57">
        <v>1</v>
      </c>
      <c r="O57" s="1" t="s">
        <v>27</v>
      </c>
      <c r="P57">
        <v>1</v>
      </c>
      <c r="Q57">
        <v>1</v>
      </c>
      <c r="R57">
        <v>3</v>
      </c>
      <c r="S57">
        <v>16</v>
      </c>
      <c r="T57">
        <v>0</v>
      </c>
      <c r="U57">
        <v>0</v>
      </c>
      <c r="V57">
        <v>7.93</v>
      </c>
    </row>
    <row r="58" spans="1:22">
      <c r="A58" s="1" t="s">
        <v>103</v>
      </c>
      <c r="B58" s="1" t="s">
        <v>45</v>
      </c>
      <c r="C58" s="2">
        <v>46295</v>
      </c>
      <c r="D58" s="3">
        <v>0.875</v>
      </c>
      <c r="E58">
        <v>86</v>
      </c>
      <c r="F58">
        <v>74</v>
      </c>
      <c r="G58">
        <v>6</v>
      </c>
      <c r="H58" s="1" t="s">
        <v>46</v>
      </c>
      <c r="I58">
        <v>18.5</v>
      </c>
      <c r="J58">
        <v>22</v>
      </c>
      <c r="K58" s="1" t="s">
        <v>47</v>
      </c>
      <c r="L58" s="1" t="s">
        <v>69</v>
      </c>
      <c r="M58">
        <v>0</v>
      </c>
      <c r="N58">
        <v>0</v>
      </c>
      <c r="O58" s="1" t="s">
        <v>27</v>
      </c>
      <c r="P58">
        <v>1</v>
      </c>
      <c r="Q58">
        <v>1</v>
      </c>
      <c r="R58">
        <v>4</v>
      </c>
      <c r="S58">
        <v>21</v>
      </c>
      <c r="T58">
        <v>0</v>
      </c>
      <c r="U58">
        <v>0</v>
      </c>
      <c r="V58">
        <v>4.6500000000000004</v>
      </c>
    </row>
    <row r="59" spans="1:22">
      <c r="A59" s="1" t="s">
        <v>104</v>
      </c>
      <c r="B59" s="1" t="s">
        <v>29</v>
      </c>
      <c r="C59" s="2">
        <v>46293</v>
      </c>
      <c r="D59" s="3">
        <v>0.69791666666666663</v>
      </c>
      <c r="E59">
        <v>175</v>
      </c>
      <c r="F59">
        <v>169</v>
      </c>
      <c r="G59">
        <v>6</v>
      </c>
      <c r="H59" s="1" t="s">
        <v>30</v>
      </c>
      <c r="I59">
        <v>32</v>
      </c>
      <c r="J59">
        <v>14</v>
      </c>
      <c r="K59" s="1" t="s">
        <v>31</v>
      </c>
      <c r="L59" s="1" t="s">
        <v>65</v>
      </c>
      <c r="M59">
        <v>0</v>
      </c>
      <c r="N59">
        <v>0</v>
      </c>
      <c r="O59" s="1" t="s">
        <v>27</v>
      </c>
      <c r="P59">
        <v>1</v>
      </c>
      <c r="Q59">
        <v>1</v>
      </c>
      <c r="R59">
        <v>3</v>
      </c>
      <c r="S59">
        <v>16</v>
      </c>
      <c r="T59">
        <v>0</v>
      </c>
      <c r="U59">
        <v>0</v>
      </c>
      <c r="V59">
        <v>5.47</v>
      </c>
    </row>
    <row r="60" spans="1:22">
      <c r="A60" s="1" t="s">
        <v>105</v>
      </c>
      <c r="B60" s="1" t="s">
        <v>45</v>
      </c>
      <c r="C60" s="2">
        <v>46277</v>
      </c>
      <c r="D60" s="3">
        <v>0.8125</v>
      </c>
      <c r="E60">
        <v>78</v>
      </c>
      <c r="F60">
        <v>76</v>
      </c>
      <c r="G60">
        <v>5</v>
      </c>
      <c r="H60" s="1" t="s">
        <v>46</v>
      </c>
      <c r="I60">
        <v>18.5</v>
      </c>
      <c r="J60">
        <v>22</v>
      </c>
      <c r="K60" s="1" t="s">
        <v>47</v>
      </c>
      <c r="L60" s="1" t="s">
        <v>32</v>
      </c>
      <c r="M60">
        <v>1</v>
      </c>
      <c r="N60">
        <v>0</v>
      </c>
      <c r="O60" s="1" t="s">
        <v>40</v>
      </c>
      <c r="P60">
        <v>1</v>
      </c>
      <c r="Q60">
        <v>1</v>
      </c>
      <c r="R60">
        <v>4</v>
      </c>
      <c r="S60">
        <v>19</v>
      </c>
      <c r="T60">
        <v>1</v>
      </c>
      <c r="U60">
        <v>1</v>
      </c>
      <c r="V60">
        <v>4.22</v>
      </c>
    </row>
    <row r="61" spans="1:22">
      <c r="A61" s="1" t="s">
        <v>106</v>
      </c>
      <c r="B61" s="1" t="s">
        <v>29</v>
      </c>
      <c r="C61" s="2">
        <v>46283</v>
      </c>
      <c r="D61" s="3">
        <v>0.44791666666666669</v>
      </c>
      <c r="E61">
        <v>65</v>
      </c>
      <c r="F61">
        <v>68</v>
      </c>
      <c r="G61">
        <v>6</v>
      </c>
      <c r="H61" s="1" t="s">
        <v>30</v>
      </c>
      <c r="I61">
        <v>32</v>
      </c>
      <c r="J61">
        <v>14</v>
      </c>
      <c r="K61" s="1" t="s">
        <v>31</v>
      </c>
      <c r="L61" s="1" t="s">
        <v>49</v>
      </c>
      <c r="M61">
        <v>0</v>
      </c>
      <c r="N61">
        <v>0</v>
      </c>
      <c r="O61" s="1" t="s">
        <v>27</v>
      </c>
      <c r="P61">
        <v>1</v>
      </c>
      <c r="Q61">
        <v>1</v>
      </c>
      <c r="R61">
        <v>0</v>
      </c>
      <c r="S61">
        <v>10</v>
      </c>
      <c r="T61">
        <v>1</v>
      </c>
      <c r="U61">
        <v>0</v>
      </c>
      <c r="V61">
        <v>2.0299999999999998</v>
      </c>
    </row>
    <row r="62" spans="1:22">
      <c r="A62" s="1" t="s">
        <v>107</v>
      </c>
      <c r="B62" s="1" t="s">
        <v>59</v>
      </c>
      <c r="C62" s="2">
        <v>46279</v>
      </c>
      <c r="D62" s="3">
        <v>0.92708333333333337</v>
      </c>
      <c r="E62">
        <v>103</v>
      </c>
      <c r="F62">
        <v>104</v>
      </c>
      <c r="G62">
        <v>6</v>
      </c>
      <c r="H62" s="1" t="s">
        <v>60</v>
      </c>
      <c r="I62">
        <v>24.8</v>
      </c>
      <c r="J62">
        <v>28</v>
      </c>
      <c r="K62" s="1" t="s">
        <v>61</v>
      </c>
      <c r="L62" s="1" t="s">
        <v>65</v>
      </c>
      <c r="M62">
        <v>0</v>
      </c>
      <c r="N62">
        <v>0</v>
      </c>
      <c r="O62" s="1" t="s">
        <v>27</v>
      </c>
      <c r="P62">
        <v>1</v>
      </c>
      <c r="Q62">
        <v>1</v>
      </c>
      <c r="R62">
        <v>4</v>
      </c>
      <c r="S62">
        <v>22</v>
      </c>
      <c r="T62">
        <v>0</v>
      </c>
      <c r="U62">
        <v>0</v>
      </c>
      <c r="V62">
        <v>4.1500000000000004</v>
      </c>
    </row>
    <row r="63" spans="1:22">
      <c r="A63" s="1" t="s">
        <v>108</v>
      </c>
      <c r="B63" s="1" t="s">
        <v>45</v>
      </c>
      <c r="C63" s="2">
        <v>46286</v>
      </c>
      <c r="D63" s="3">
        <v>0.25</v>
      </c>
      <c r="E63">
        <v>93</v>
      </c>
      <c r="F63">
        <v>87</v>
      </c>
      <c r="G63">
        <v>4</v>
      </c>
      <c r="H63" s="1" t="s">
        <v>46</v>
      </c>
      <c r="I63">
        <v>18.5</v>
      </c>
      <c r="J63">
        <v>22</v>
      </c>
      <c r="K63" s="1" t="s">
        <v>47</v>
      </c>
      <c r="L63" s="1" t="s">
        <v>65</v>
      </c>
      <c r="M63">
        <v>0</v>
      </c>
      <c r="N63">
        <v>0</v>
      </c>
      <c r="O63" s="1" t="s">
        <v>27</v>
      </c>
      <c r="P63">
        <v>1</v>
      </c>
      <c r="Q63">
        <v>1</v>
      </c>
      <c r="R63">
        <v>2</v>
      </c>
      <c r="S63">
        <v>6</v>
      </c>
      <c r="T63">
        <v>0</v>
      </c>
      <c r="U63">
        <v>0</v>
      </c>
      <c r="V63">
        <v>5.03</v>
      </c>
    </row>
    <row r="64" spans="1:22">
      <c r="A64" s="1" t="s">
        <v>109</v>
      </c>
      <c r="B64" s="1" t="s">
        <v>45</v>
      </c>
      <c r="C64" s="2">
        <v>46289</v>
      </c>
      <c r="D64" s="3">
        <v>0.40625</v>
      </c>
      <c r="E64">
        <v>111</v>
      </c>
      <c r="F64">
        <v>102</v>
      </c>
      <c r="G64">
        <v>3</v>
      </c>
      <c r="H64" s="1" t="s">
        <v>46</v>
      </c>
      <c r="I64">
        <v>18.5</v>
      </c>
      <c r="J64">
        <v>22</v>
      </c>
      <c r="K64" s="1" t="s">
        <v>47</v>
      </c>
      <c r="L64" s="1" t="s">
        <v>56</v>
      </c>
      <c r="M64">
        <v>0</v>
      </c>
      <c r="N64">
        <v>0</v>
      </c>
      <c r="O64" s="1" t="s">
        <v>27</v>
      </c>
      <c r="P64">
        <v>1</v>
      </c>
      <c r="Q64">
        <v>1</v>
      </c>
      <c r="R64">
        <v>5</v>
      </c>
      <c r="S64">
        <v>9</v>
      </c>
      <c r="T64">
        <v>1</v>
      </c>
      <c r="U64">
        <v>0</v>
      </c>
      <c r="V64">
        <v>6</v>
      </c>
    </row>
    <row r="65" spans="1:22">
      <c r="A65" s="1" t="s">
        <v>110</v>
      </c>
      <c r="B65" s="1" t="s">
        <v>45</v>
      </c>
      <c r="C65" s="2">
        <v>46276</v>
      </c>
      <c r="D65" s="3">
        <v>0.22916666666666666</v>
      </c>
      <c r="E65">
        <v>174</v>
      </c>
      <c r="F65">
        <v>167</v>
      </c>
      <c r="G65">
        <v>4</v>
      </c>
      <c r="H65" s="1" t="s">
        <v>46</v>
      </c>
      <c r="I65">
        <v>18.5</v>
      </c>
      <c r="J65">
        <v>22</v>
      </c>
      <c r="K65" s="1" t="s">
        <v>47</v>
      </c>
      <c r="L65" s="1" t="s">
        <v>49</v>
      </c>
      <c r="M65">
        <v>0</v>
      </c>
      <c r="N65">
        <v>0</v>
      </c>
      <c r="O65" s="1" t="s">
        <v>27</v>
      </c>
      <c r="P65">
        <v>1</v>
      </c>
      <c r="Q65">
        <v>1</v>
      </c>
      <c r="R65">
        <v>0</v>
      </c>
      <c r="S65">
        <v>5</v>
      </c>
      <c r="T65">
        <v>0</v>
      </c>
      <c r="U65">
        <v>0</v>
      </c>
      <c r="V65">
        <v>9.41</v>
      </c>
    </row>
    <row r="66" spans="1:22">
      <c r="A66" s="1" t="s">
        <v>111</v>
      </c>
      <c r="B66" s="1" t="s">
        <v>45</v>
      </c>
      <c r="C66" s="2">
        <v>46274</v>
      </c>
      <c r="D66" s="3">
        <v>0.30208333333333331</v>
      </c>
      <c r="E66">
        <v>129</v>
      </c>
      <c r="F66">
        <v>129</v>
      </c>
      <c r="G66">
        <v>5</v>
      </c>
      <c r="H66" s="1" t="s">
        <v>46</v>
      </c>
      <c r="I66">
        <v>18.5</v>
      </c>
      <c r="J66">
        <v>22</v>
      </c>
      <c r="K66" s="1" t="s">
        <v>47</v>
      </c>
      <c r="L66" s="1" t="s">
        <v>69</v>
      </c>
      <c r="M66">
        <v>0</v>
      </c>
      <c r="N66">
        <v>0</v>
      </c>
      <c r="O66" s="1" t="s">
        <v>27</v>
      </c>
      <c r="P66">
        <v>1</v>
      </c>
      <c r="Q66">
        <v>1</v>
      </c>
      <c r="R66">
        <v>4</v>
      </c>
      <c r="S66">
        <v>7</v>
      </c>
      <c r="T66">
        <v>0</v>
      </c>
      <c r="U66">
        <v>0</v>
      </c>
      <c r="V66">
        <v>6.97</v>
      </c>
    </row>
    <row r="67" spans="1:22">
      <c r="A67" s="1" t="s">
        <v>112</v>
      </c>
      <c r="B67" s="1" t="s">
        <v>34</v>
      </c>
      <c r="C67" s="2">
        <v>46267</v>
      </c>
      <c r="D67" s="3">
        <v>0.375</v>
      </c>
      <c r="E67">
        <v>134</v>
      </c>
      <c r="F67">
        <v>144</v>
      </c>
      <c r="G67">
        <v>6</v>
      </c>
      <c r="H67" s="1" t="s">
        <v>35</v>
      </c>
      <c r="I67">
        <v>12.2</v>
      </c>
      <c r="J67">
        <v>18</v>
      </c>
      <c r="K67" s="1" t="s">
        <v>36</v>
      </c>
      <c r="L67" s="1" t="s">
        <v>69</v>
      </c>
      <c r="M67">
        <v>0</v>
      </c>
      <c r="N67">
        <v>0</v>
      </c>
      <c r="O67" s="1" t="s">
        <v>27</v>
      </c>
      <c r="P67">
        <v>1</v>
      </c>
      <c r="Q67">
        <v>1</v>
      </c>
      <c r="R67">
        <v>2</v>
      </c>
      <c r="S67">
        <v>9</v>
      </c>
      <c r="T67">
        <v>1</v>
      </c>
      <c r="U67">
        <v>0</v>
      </c>
      <c r="V67">
        <v>10.98</v>
      </c>
    </row>
    <row r="68" spans="1:22">
      <c r="A68" s="1" t="s">
        <v>113</v>
      </c>
      <c r="B68" s="1" t="s">
        <v>45</v>
      </c>
      <c r="C68" s="2">
        <v>46277</v>
      </c>
      <c r="D68" s="3">
        <v>0.375</v>
      </c>
      <c r="E68">
        <v>149</v>
      </c>
      <c r="F68">
        <v>151</v>
      </c>
      <c r="G68">
        <v>4</v>
      </c>
      <c r="H68" s="1" t="s">
        <v>46</v>
      </c>
      <c r="I68">
        <v>18.5</v>
      </c>
      <c r="J68">
        <v>22</v>
      </c>
      <c r="K68" s="1" t="s">
        <v>47</v>
      </c>
      <c r="L68" s="1" t="s">
        <v>32</v>
      </c>
      <c r="M68">
        <v>1</v>
      </c>
      <c r="N68">
        <v>0</v>
      </c>
      <c r="O68" s="1" t="s">
        <v>40</v>
      </c>
      <c r="P68">
        <v>1</v>
      </c>
      <c r="Q68">
        <v>1</v>
      </c>
      <c r="R68">
        <v>4</v>
      </c>
      <c r="S68">
        <v>9</v>
      </c>
      <c r="T68">
        <v>1</v>
      </c>
      <c r="U68">
        <v>1</v>
      </c>
      <c r="V68">
        <v>8.0500000000000007</v>
      </c>
    </row>
    <row r="69" spans="1:22">
      <c r="A69" s="1" t="s">
        <v>114</v>
      </c>
      <c r="B69" s="1" t="s">
        <v>29</v>
      </c>
      <c r="C69" s="2">
        <v>46268</v>
      </c>
      <c r="D69" s="3">
        <v>0.89583333333333337</v>
      </c>
      <c r="E69">
        <v>37</v>
      </c>
      <c r="F69">
        <v>39</v>
      </c>
      <c r="G69">
        <v>4</v>
      </c>
      <c r="H69" s="1" t="s">
        <v>30</v>
      </c>
      <c r="I69">
        <v>32</v>
      </c>
      <c r="J69">
        <v>14</v>
      </c>
      <c r="K69" s="1" t="s">
        <v>31</v>
      </c>
      <c r="L69" s="1" t="s">
        <v>56</v>
      </c>
      <c r="M69">
        <v>0</v>
      </c>
      <c r="N69">
        <v>0</v>
      </c>
      <c r="O69" s="1" t="s">
        <v>27</v>
      </c>
      <c r="P69">
        <v>1</v>
      </c>
      <c r="Q69">
        <v>0</v>
      </c>
      <c r="R69">
        <v>2</v>
      </c>
      <c r="S69">
        <v>21</v>
      </c>
      <c r="T69">
        <v>0</v>
      </c>
      <c r="U69">
        <v>0</v>
      </c>
      <c r="V69">
        <v>1.1599999999999999</v>
      </c>
    </row>
    <row r="70" spans="1:22">
      <c r="A70" s="1" t="s">
        <v>115</v>
      </c>
      <c r="B70" s="1" t="s">
        <v>29</v>
      </c>
      <c r="C70" s="2">
        <v>46268</v>
      </c>
      <c r="D70" s="3">
        <v>0.78125</v>
      </c>
      <c r="E70">
        <v>190</v>
      </c>
      <c r="F70">
        <v>193</v>
      </c>
      <c r="G70">
        <v>6</v>
      </c>
      <c r="H70" s="1" t="s">
        <v>30</v>
      </c>
      <c r="I70">
        <v>32</v>
      </c>
      <c r="J70">
        <v>14</v>
      </c>
      <c r="K70" s="1" t="s">
        <v>31</v>
      </c>
      <c r="L70" s="1" t="s">
        <v>56</v>
      </c>
      <c r="M70">
        <v>0</v>
      </c>
      <c r="N70">
        <v>0</v>
      </c>
      <c r="O70" s="1" t="s">
        <v>27</v>
      </c>
      <c r="P70">
        <v>1</v>
      </c>
      <c r="Q70">
        <v>1</v>
      </c>
      <c r="R70">
        <v>7</v>
      </c>
      <c r="S70">
        <v>18</v>
      </c>
      <c r="T70">
        <v>1</v>
      </c>
      <c r="U70">
        <v>0</v>
      </c>
      <c r="V70">
        <v>5.94</v>
      </c>
    </row>
    <row r="71" spans="1:22">
      <c r="A71" s="1" t="s">
        <v>116</v>
      </c>
      <c r="B71" s="1" t="s">
        <v>23</v>
      </c>
      <c r="C71" s="2">
        <v>46266</v>
      </c>
      <c r="D71" s="3">
        <v>0.61458333333333337</v>
      </c>
      <c r="E71">
        <v>137</v>
      </c>
      <c r="F71">
        <v>134</v>
      </c>
      <c r="G71">
        <v>7</v>
      </c>
      <c r="H71" s="1" t="s">
        <v>24</v>
      </c>
      <c r="I71">
        <v>15</v>
      </c>
      <c r="J71">
        <v>16</v>
      </c>
      <c r="K71" s="1" t="s">
        <v>25</v>
      </c>
      <c r="L71" s="1" t="s">
        <v>26</v>
      </c>
      <c r="M71">
        <v>0</v>
      </c>
      <c r="N71">
        <v>0</v>
      </c>
      <c r="O71" s="1" t="s">
        <v>27</v>
      </c>
      <c r="P71">
        <v>1</v>
      </c>
      <c r="Q71">
        <v>1</v>
      </c>
      <c r="R71">
        <v>1</v>
      </c>
      <c r="S71">
        <v>14</v>
      </c>
      <c r="T71">
        <v>0</v>
      </c>
      <c r="U71">
        <v>0</v>
      </c>
      <c r="V71">
        <v>9.1300000000000008</v>
      </c>
    </row>
    <row r="72" spans="1:22">
      <c r="A72" s="1" t="s">
        <v>117</v>
      </c>
      <c r="B72" s="1" t="s">
        <v>29</v>
      </c>
      <c r="C72" s="2">
        <v>46273</v>
      </c>
      <c r="D72" s="3">
        <v>0.94791666666666663</v>
      </c>
      <c r="E72">
        <v>41</v>
      </c>
      <c r="F72">
        <v>48</v>
      </c>
      <c r="G72">
        <v>3</v>
      </c>
      <c r="H72" s="1" t="s">
        <v>30</v>
      </c>
      <c r="I72">
        <v>32</v>
      </c>
      <c r="J72">
        <v>14</v>
      </c>
      <c r="K72" s="1" t="s">
        <v>31</v>
      </c>
      <c r="L72" s="1" t="s">
        <v>26</v>
      </c>
      <c r="M72">
        <v>0</v>
      </c>
      <c r="N72">
        <v>0</v>
      </c>
      <c r="O72" s="1" t="s">
        <v>27</v>
      </c>
      <c r="P72">
        <v>1</v>
      </c>
      <c r="Q72">
        <v>1</v>
      </c>
      <c r="R72">
        <v>0</v>
      </c>
      <c r="S72">
        <v>22</v>
      </c>
      <c r="T72">
        <v>0</v>
      </c>
      <c r="U72">
        <v>0</v>
      </c>
      <c r="V72">
        <v>1.28</v>
      </c>
    </row>
    <row r="73" spans="1:22">
      <c r="A73" s="1" t="s">
        <v>118</v>
      </c>
      <c r="B73" s="1" t="s">
        <v>23</v>
      </c>
      <c r="C73" s="2">
        <v>46287</v>
      </c>
      <c r="D73" s="3">
        <v>0.63541666666666663</v>
      </c>
      <c r="E73">
        <v>121</v>
      </c>
      <c r="F73">
        <v>130</v>
      </c>
      <c r="G73">
        <v>6</v>
      </c>
      <c r="H73" s="1" t="s">
        <v>24</v>
      </c>
      <c r="I73">
        <v>15</v>
      </c>
      <c r="J73">
        <v>16</v>
      </c>
      <c r="K73" s="1" t="s">
        <v>25</v>
      </c>
      <c r="L73" s="1" t="s">
        <v>26</v>
      </c>
      <c r="M73">
        <v>0</v>
      </c>
      <c r="N73">
        <v>0</v>
      </c>
      <c r="O73" s="1" t="s">
        <v>27</v>
      </c>
      <c r="P73">
        <v>1</v>
      </c>
      <c r="Q73">
        <v>1</v>
      </c>
      <c r="R73">
        <v>8</v>
      </c>
      <c r="S73">
        <v>15</v>
      </c>
      <c r="T73">
        <v>0</v>
      </c>
      <c r="U73">
        <v>0</v>
      </c>
      <c r="V73">
        <v>8.07</v>
      </c>
    </row>
    <row r="74" spans="1:22">
      <c r="A74" s="1" t="s">
        <v>119</v>
      </c>
      <c r="B74" s="1" t="s">
        <v>29</v>
      </c>
      <c r="C74" s="2">
        <v>46293</v>
      </c>
      <c r="D74" s="3">
        <v>0.25</v>
      </c>
      <c r="E74">
        <v>100</v>
      </c>
      <c r="F74">
        <v>90</v>
      </c>
      <c r="G74">
        <v>4</v>
      </c>
      <c r="H74" s="1" t="s">
        <v>30</v>
      </c>
      <c r="I74">
        <v>32</v>
      </c>
      <c r="J74">
        <v>14</v>
      </c>
      <c r="K74" s="1" t="s">
        <v>31</v>
      </c>
      <c r="L74" s="1" t="s">
        <v>65</v>
      </c>
      <c r="M74">
        <v>0</v>
      </c>
      <c r="N74">
        <v>0</v>
      </c>
      <c r="O74" s="1" t="s">
        <v>27</v>
      </c>
      <c r="P74">
        <v>1</v>
      </c>
      <c r="Q74">
        <v>1</v>
      </c>
      <c r="R74">
        <v>31</v>
      </c>
      <c r="S74">
        <v>6</v>
      </c>
      <c r="T74">
        <v>0</v>
      </c>
      <c r="U74">
        <v>0</v>
      </c>
      <c r="V74">
        <v>3.12</v>
      </c>
    </row>
    <row r="75" spans="1:22">
      <c r="A75" s="1" t="s">
        <v>120</v>
      </c>
      <c r="B75" s="1" t="s">
        <v>34</v>
      </c>
      <c r="C75" s="2">
        <v>46294</v>
      </c>
      <c r="D75" s="3">
        <v>0.91666666666666663</v>
      </c>
      <c r="E75">
        <v>92</v>
      </c>
      <c r="F75">
        <v>84</v>
      </c>
      <c r="G75">
        <v>3</v>
      </c>
      <c r="H75" s="1" t="s">
        <v>35</v>
      </c>
      <c r="I75">
        <v>12.2</v>
      </c>
      <c r="J75">
        <v>18</v>
      </c>
      <c r="K75" s="1" t="s">
        <v>36</v>
      </c>
      <c r="L75" s="1" t="s">
        <v>26</v>
      </c>
      <c r="M75">
        <v>0</v>
      </c>
      <c r="N75">
        <v>0</v>
      </c>
      <c r="O75" s="1" t="s">
        <v>27</v>
      </c>
      <c r="P75">
        <v>1</v>
      </c>
      <c r="Q75">
        <v>1</v>
      </c>
      <c r="R75">
        <v>9</v>
      </c>
      <c r="S75">
        <v>22</v>
      </c>
      <c r="T75">
        <v>0</v>
      </c>
      <c r="U75">
        <v>0</v>
      </c>
      <c r="V75">
        <v>7.54</v>
      </c>
    </row>
    <row r="76" spans="1:22">
      <c r="A76" s="1" t="s">
        <v>121</v>
      </c>
      <c r="B76" s="1" t="s">
        <v>23</v>
      </c>
      <c r="C76" s="2">
        <v>46273</v>
      </c>
      <c r="D76" s="3">
        <v>0.47916666666666669</v>
      </c>
      <c r="E76">
        <v>38</v>
      </c>
      <c r="F76">
        <v>33</v>
      </c>
      <c r="G76">
        <v>3</v>
      </c>
      <c r="H76" s="1" t="s">
        <v>24</v>
      </c>
      <c r="I76">
        <v>15</v>
      </c>
      <c r="J76">
        <v>16</v>
      </c>
      <c r="K76" s="1" t="s">
        <v>25</v>
      </c>
      <c r="L76" s="1" t="s">
        <v>26</v>
      </c>
      <c r="M76">
        <v>0</v>
      </c>
      <c r="N76">
        <v>0</v>
      </c>
      <c r="O76" s="1" t="s">
        <v>27</v>
      </c>
      <c r="P76">
        <v>1</v>
      </c>
      <c r="Q76">
        <v>1</v>
      </c>
      <c r="R76">
        <v>2</v>
      </c>
      <c r="S76">
        <v>11</v>
      </c>
      <c r="T76">
        <v>0</v>
      </c>
      <c r="U76">
        <v>0</v>
      </c>
      <c r="V76">
        <v>2.5299999999999998</v>
      </c>
    </row>
    <row r="77" spans="1:22">
      <c r="A77" s="1" t="s">
        <v>122</v>
      </c>
      <c r="B77" s="1" t="s">
        <v>29</v>
      </c>
      <c r="C77" s="2">
        <v>46276</v>
      </c>
      <c r="D77" s="3">
        <v>0.8125</v>
      </c>
      <c r="E77">
        <v>147</v>
      </c>
      <c r="F77">
        <v>148</v>
      </c>
      <c r="G77">
        <v>7</v>
      </c>
      <c r="H77" s="1" t="s">
        <v>30</v>
      </c>
      <c r="I77">
        <v>32</v>
      </c>
      <c r="J77">
        <v>14</v>
      </c>
      <c r="K77" s="1" t="s">
        <v>31</v>
      </c>
      <c r="L77" s="1" t="s">
        <v>49</v>
      </c>
      <c r="M77">
        <v>0</v>
      </c>
      <c r="N77">
        <v>0</v>
      </c>
      <c r="O77" s="1" t="s">
        <v>27</v>
      </c>
      <c r="P77">
        <v>1</v>
      </c>
      <c r="Q77">
        <v>1</v>
      </c>
      <c r="R77">
        <v>4</v>
      </c>
      <c r="S77">
        <v>19</v>
      </c>
      <c r="T77">
        <v>1</v>
      </c>
      <c r="U77">
        <v>0</v>
      </c>
      <c r="V77">
        <v>4.59</v>
      </c>
    </row>
    <row r="78" spans="1:22">
      <c r="A78" s="1" t="s">
        <v>123</v>
      </c>
      <c r="B78" s="1" t="s">
        <v>59</v>
      </c>
      <c r="C78" s="2">
        <v>46274</v>
      </c>
      <c r="D78" s="3">
        <v>0.9375</v>
      </c>
      <c r="E78">
        <v>115</v>
      </c>
      <c r="F78">
        <v>109</v>
      </c>
      <c r="G78">
        <v>4</v>
      </c>
      <c r="H78" s="1" t="s">
        <v>60</v>
      </c>
      <c r="I78">
        <v>24.8</v>
      </c>
      <c r="J78">
        <v>28</v>
      </c>
      <c r="K78" s="1" t="s">
        <v>61</v>
      </c>
      <c r="L78" s="1" t="s">
        <v>69</v>
      </c>
      <c r="M78">
        <v>0</v>
      </c>
      <c r="N78">
        <v>0</v>
      </c>
      <c r="O78" s="1" t="s">
        <v>27</v>
      </c>
      <c r="P78">
        <v>1</v>
      </c>
      <c r="Q78">
        <v>1</v>
      </c>
      <c r="R78">
        <v>2</v>
      </c>
      <c r="S78">
        <v>22</v>
      </c>
      <c r="T78">
        <v>0</v>
      </c>
      <c r="U78">
        <v>0</v>
      </c>
      <c r="V78">
        <v>4.6399999999999997</v>
      </c>
    </row>
    <row r="79" spans="1:22">
      <c r="A79" s="1" t="s">
        <v>124</v>
      </c>
      <c r="B79" s="1" t="s">
        <v>45</v>
      </c>
      <c r="C79" s="2">
        <v>46270</v>
      </c>
      <c r="D79" s="3">
        <v>0.67708333333333337</v>
      </c>
      <c r="E79">
        <v>131</v>
      </c>
      <c r="F79">
        <v>137</v>
      </c>
      <c r="G79">
        <v>5</v>
      </c>
      <c r="H79" s="1" t="s">
        <v>46</v>
      </c>
      <c r="I79">
        <v>18.5</v>
      </c>
      <c r="J79">
        <v>22</v>
      </c>
      <c r="K79" s="1" t="s">
        <v>47</v>
      </c>
      <c r="L79" s="1" t="s">
        <v>32</v>
      </c>
      <c r="M79">
        <v>1</v>
      </c>
      <c r="N79">
        <v>1</v>
      </c>
      <c r="O79" s="1" t="s">
        <v>27</v>
      </c>
      <c r="P79">
        <v>1</v>
      </c>
      <c r="Q79">
        <v>1</v>
      </c>
      <c r="R79">
        <v>4</v>
      </c>
      <c r="S79">
        <v>16</v>
      </c>
      <c r="T79">
        <v>0</v>
      </c>
      <c r="U79">
        <v>0</v>
      </c>
      <c r="V79">
        <v>7.08</v>
      </c>
    </row>
    <row r="80" spans="1:22">
      <c r="A80" s="1" t="s">
        <v>125</v>
      </c>
      <c r="B80" s="1" t="s">
        <v>29</v>
      </c>
      <c r="C80" s="2">
        <v>46279</v>
      </c>
      <c r="D80" s="3">
        <v>0.73958333333333337</v>
      </c>
      <c r="E80">
        <v>127</v>
      </c>
      <c r="F80">
        <v>122</v>
      </c>
      <c r="G80">
        <v>5</v>
      </c>
      <c r="H80" s="1" t="s">
        <v>30</v>
      </c>
      <c r="I80">
        <v>32</v>
      </c>
      <c r="J80">
        <v>14</v>
      </c>
      <c r="K80" s="1" t="s">
        <v>31</v>
      </c>
      <c r="L80" s="1" t="s">
        <v>65</v>
      </c>
      <c r="M80">
        <v>0</v>
      </c>
      <c r="N80">
        <v>0</v>
      </c>
      <c r="O80" s="1" t="s">
        <v>27</v>
      </c>
      <c r="P80">
        <v>1</v>
      </c>
      <c r="Q80">
        <v>1</v>
      </c>
      <c r="R80">
        <v>1</v>
      </c>
      <c r="S80">
        <v>17</v>
      </c>
      <c r="T80">
        <v>1</v>
      </c>
      <c r="U80">
        <v>0</v>
      </c>
      <c r="V80">
        <v>3.97</v>
      </c>
    </row>
    <row r="81" spans="1:22">
      <c r="A81" s="1" t="s">
        <v>126</v>
      </c>
      <c r="B81" s="1" t="s">
        <v>45</v>
      </c>
      <c r="C81" s="2">
        <v>46293</v>
      </c>
      <c r="D81" s="3">
        <v>0.84375</v>
      </c>
      <c r="E81">
        <v>94</v>
      </c>
      <c r="F81">
        <v>90</v>
      </c>
      <c r="G81">
        <v>4</v>
      </c>
      <c r="H81" s="1" t="s">
        <v>46</v>
      </c>
      <c r="I81">
        <v>18.5</v>
      </c>
      <c r="J81">
        <v>22</v>
      </c>
      <c r="K81" s="1" t="s">
        <v>47</v>
      </c>
      <c r="L81" s="1" t="s">
        <v>65</v>
      </c>
      <c r="M81">
        <v>0</v>
      </c>
      <c r="N81">
        <v>0</v>
      </c>
      <c r="O81" s="1" t="s">
        <v>27</v>
      </c>
      <c r="P81">
        <v>1</v>
      </c>
      <c r="Q81">
        <v>1</v>
      </c>
      <c r="R81">
        <v>7</v>
      </c>
      <c r="S81">
        <v>20</v>
      </c>
      <c r="T81">
        <v>0</v>
      </c>
      <c r="U81">
        <v>0</v>
      </c>
      <c r="V81">
        <v>5.08</v>
      </c>
    </row>
    <row r="82" spans="1:22">
      <c r="A82" s="1" t="s">
        <v>127</v>
      </c>
      <c r="B82" s="1" t="s">
        <v>29</v>
      </c>
      <c r="C82" s="2">
        <v>46295</v>
      </c>
      <c r="D82" s="3">
        <v>0.61458333333333337</v>
      </c>
      <c r="E82">
        <v>168</v>
      </c>
      <c r="F82">
        <v>166</v>
      </c>
      <c r="G82">
        <v>6</v>
      </c>
      <c r="H82" s="1" t="s">
        <v>30</v>
      </c>
      <c r="I82">
        <v>32</v>
      </c>
      <c r="J82">
        <v>14</v>
      </c>
      <c r="K82" s="1" t="s">
        <v>31</v>
      </c>
      <c r="L82" s="1" t="s">
        <v>69</v>
      </c>
      <c r="M82">
        <v>0</v>
      </c>
      <c r="N82">
        <v>0</v>
      </c>
      <c r="O82" s="1" t="s">
        <v>27</v>
      </c>
      <c r="P82">
        <v>1</v>
      </c>
      <c r="Q82">
        <v>1</v>
      </c>
      <c r="R82">
        <v>4</v>
      </c>
      <c r="S82">
        <v>14</v>
      </c>
      <c r="T82">
        <v>0</v>
      </c>
      <c r="U82">
        <v>0</v>
      </c>
      <c r="V82">
        <v>5.25</v>
      </c>
    </row>
    <row r="83" spans="1:22">
      <c r="A83" s="1" t="s">
        <v>128</v>
      </c>
      <c r="B83" s="1" t="s">
        <v>45</v>
      </c>
      <c r="C83" s="2">
        <v>46268</v>
      </c>
      <c r="D83" s="3">
        <v>0.51041666666666663</v>
      </c>
      <c r="E83">
        <v>111</v>
      </c>
      <c r="F83">
        <v>108</v>
      </c>
      <c r="G83">
        <v>6</v>
      </c>
      <c r="H83" s="1" t="s">
        <v>46</v>
      </c>
      <c r="I83">
        <v>18.5</v>
      </c>
      <c r="J83">
        <v>22</v>
      </c>
      <c r="K83" s="1" t="s">
        <v>47</v>
      </c>
      <c r="L83" s="1" t="s">
        <v>56</v>
      </c>
      <c r="M83">
        <v>0</v>
      </c>
      <c r="N83">
        <v>0</v>
      </c>
      <c r="O83" s="1" t="s">
        <v>27</v>
      </c>
      <c r="P83">
        <v>1</v>
      </c>
      <c r="Q83">
        <v>1</v>
      </c>
      <c r="R83">
        <v>0</v>
      </c>
      <c r="S83">
        <v>12</v>
      </c>
      <c r="T83">
        <v>0</v>
      </c>
      <c r="U83">
        <v>0</v>
      </c>
      <c r="V83">
        <v>6</v>
      </c>
    </row>
    <row r="84" spans="1:22">
      <c r="A84" s="1" t="s">
        <v>129</v>
      </c>
      <c r="B84" s="1" t="s">
        <v>59</v>
      </c>
      <c r="C84" s="2">
        <v>46286</v>
      </c>
      <c r="D84" s="3">
        <v>0.22916666666666666</v>
      </c>
      <c r="E84">
        <v>84</v>
      </c>
      <c r="F84">
        <v>81</v>
      </c>
      <c r="G84">
        <v>5</v>
      </c>
      <c r="H84" s="1" t="s">
        <v>60</v>
      </c>
      <c r="I84">
        <v>24.8</v>
      </c>
      <c r="J84">
        <v>28</v>
      </c>
      <c r="K84" s="1" t="s">
        <v>61</v>
      </c>
      <c r="L84" s="1" t="s">
        <v>65</v>
      </c>
      <c r="M84">
        <v>0</v>
      </c>
      <c r="N84">
        <v>0</v>
      </c>
      <c r="O84" s="1" t="s">
        <v>27</v>
      </c>
      <c r="P84">
        <v>1</v>
      </c>
      <c r="Q84">
        <v>1</v>
      </c>
      <c r="R84">
        <v>14</v>
      </c>
      <c r="S84">
        <v>5</v>
      </c>
      <c r="T84">
        <v>0</v>
      </c>
      <c r="U84">
        <v>0</v>
      </c>
      <c r="V84">
        <v>3.39</v>
      </c>
    </row>
    <row r="85" spans="1:22">
      <c r="A85" s="1" t="s">
        <v>130</v>
      </c>
      <c r="B85" s="1" t="s">
        <v>59</v>
      </c>
      <c r="C85" s="2">
        <v>46270</v>
      </c>
      <c r="D85" s="3">
        <v>0.5</v>
      </c>
      <c r="E85">
        <v>140</v>
      </c>
      <c r="F85">
        <v>144</v>
      </c>
      <c r="G85">
        <v>5</v>
      </c>
      <c r="H85" s="1" t="s">
        <v>60</v>
      </c>
      <c r="I85">
        <v>24.8</v>
      </c>
      <c r="J85">
        <v>28</v>
      </c>
      <c r="K85" s="1" t="s">
        <v>61</v>
      </c>
      <c r="L85" s="1" t="s">
        <v>32</v>
      </c>
      <c r="M85">
        <v>1</v>
      </c>
      <c r="N85">
        <v>1</v>
      </c>
      <c r="O85" s="1" t="s">
        <v>27</v>
      </c>
      <c r="P85">
        <v>1</v>
      </c>
      <c r="Q85">
        <v>1</v>
      </c>
      <c r="R85">
        <v>3</v>
      </c>
      <c r="S85">
        <v>12</v>
      </c>
      <c r="T85">
        <v>0</v>
      </c>
      <c r="U85">
        <v>0</v>
      </c>
      <c r="V85">
        <v>5.65</v>
      </c>
    </row>
    <row r="86" spans="1:22">
      <c r="A86" s="1" t="s">
        <v>131</v>
      </c>
      <c r="B86" s="1" t="s">
        <v>59</v>
      </c>
      <c r="C86" s="2">
        <v>46270</v>
      </c>
      <c r="D86" s="3">
        <v>0.41666666666666669</v>
      </c>
      <c r="E86">
        <v>88</v>
      </c>
      <c r="F86">
        <v>99</v>
      </c>
      <c r="G86">
        <v>3</v>
      </c>
      <c r="H86" s="1" t="s">
        <v>60</v>
      </c>
      <c r="I86">
        <v>24.8</v>
      </c>
      <c r="J86">
        <v>28</v>
      </c>
      <c r="K86" s="1" t="s">
        <v>61</v>
      </c>
      <c r="L86" s="1" t="s">
        <v>32</v>
      </c>
      <c r="M86">
        <v>1</v>
      </c>
      <c r="N86">
        <v>1</v>
      </c>
      <c r="O86" s="1" t="s">
        <v>27</v>
      </c>
      <c r="P86">
        <v>1</v>
      </c>
      <c r="Q86">
        <v>1</v>
      </c>
      <c r="R86">
        <v>0</v>
      </c>
      <c r="S86">
        <v>10</v>
      </c>
      <c r="T86">
        <v>1</v>
      </c>
      <c r="U86">
        <v>0</v>
      </c>
      <c r="V86">
        <v>3.55</v>
      </c>
    </row>
    <row r="87" spans="1:22">
      <c r="A87" s="1" t="s">
        <v>132</v>
      </c>
      <c r="B87" s="1" t="s">
        <v>45</v>
      </c>
      <c r="C87" s="2">
        <v>46284</v>
      </c>
      <c r="D87" s="3">
        <v>0.80208333333333337</v>
      </c>
      <c r="E87">
        <v>111</v>
      </c>
      <c r="F87">
        <v>107</v>
      </c>
      <c r="G87">
        <v>5</v>
      </c>
      <c r="H87" s="1" t="s">
        <v>46</v>
      </c>
      <c r="I87">
        <v>18.5</v>
      </c>
      <c r="J87">
        <v>22</v>
      </c>
      <c r="K87" s="1" t="s">
        <v>47</v>
      </c>
      <c r="L87" s="1" t="s">
        <v>32</v>
      </c>
      <c r="M87">
        <v>1</v>
      </c>
      <c r="N87">
        <v>1</v>
      </c>
      <c r="O87" s="1" t="s">
        <v>27</v>
      </c>
      <c r="P87">
        <v>1</v>
      </c>
      <c r="Q87">
        <v>1</v>
      </c>
      <c r="R87">
        <v>2</v>
      </c>
      <c r="S87">
        <v>19</v>
      </c>
      <c r="T87">
        <v>1</v>
      </c>
      <c r="U87">
        <v>0</v>
      </c>
      <c r="V87">
        <v>6</v>
      </c>
    </row>
    <row r="88" spans="1:22">
      <c r="A88" s="1" t="s">
        <v>133</v>
      </c>
      <c r="B88" s="1" t="s">
        <v>29</v>
      </c>
      <c r="C88" s="2">
        <v>46292</v>
      </c>
      <c r="D88" s="3">
        <v>0.80208333333333337</v>
      </c>
      <c r="E88">
        <v>97</v>
      </c>
      <c r="F88">
        <v>91</v>
      </c>
      <c r="G88">
        <v>5</v>
      </c>
      <c r="H88" s="1" t="s">
        <v>30</v>
      </c>
      <c r="I88">
        <v>32</v>
      </c>
      <c r="J88">
        <v>14</v>
      </c>
      <c r="K88" s="1" t="s">
        <v>31</v>
      </c>
      <c r="L88" s="1" t="s">
        <v>38</v>
      </c>
      <c r="M88">
        <v>1</v>
      </c>
      <c r="N88">
        <v>0</v>
      </c>
      <c r="O88" s="1" t="s">
        <v>134</v>
      </c>
      <c r="P88">
        <v>1</v>
      </c>
      <c r="Q88">
        <v>1</v>
      </c>
      <c r="R88">
        <v>4</v>
      </c>
      <c r="S88">
        <v>19</v>
      </c>
      <c r="T88">
        <v>1</v>
      </c>
      <c r="U88">
        <v>1</v>
      </c>
      <c r="V88">
        <v>3.03</v>
      </c>
    </row>
    <row r="89" spans="1:22">
      <c r="A89" s="1" t="s">
        <v>135</v>
      </c>
      <c r="B89" s="1" t="s">
        <v>59</v>
      </c>
      <c r="C89" s="2">
        <v>46279</v>
      </c>
      <c r="D89" s="3">
        <v>0.22916666666666666</v>
      </c>
      <c r="E89">
        <v>118</v>
      </c>
      <c r="F89">
        <v>118</v>
      </c>
      <c r="G89">
        <v>4</v>
      </c>
      <c r="H89" s="1" t="s">
        <v>60</v>
      </c>
      <c r="I89">
        <v>24.8</v>
      </c>
      <c r="J89">
        <v>28</v>
      </c>
      <c r="K89" s="1" t="s">
        <v>61</v>
      </c>
      <c r="L89" s="1" t="s">
        <v>65</v>
      </c>
      <c r="M89">
        <v>0</v>
      </c>
      <c r="N89">
        <v>0</v>
      </c>
      <c r="O89" s="1" t="s">
        <v>27</v>
      </c>
      <c r="P89">
        <v>1</v>
      </c>
      <c r="Q89">
        <v>1</v>
      </c>
      <c r="R89">
        <v>4</v>
      </c>
      <c r="S89">
        <v>5</v>
      </c>
      <c r="T89">
        <v>0</v>
      </c>
      <c r="U89">
        <v>0</v>
      </c>
      <c r="V89">
        <v>4.76</v>
      </c>
    </row>
    <row r="90" spans="1:22">
      <c r="A90" s="1" t="s">
        <v>136</v>
      </c>
      <c r="B90" s="1" t="s">
        <v>34</v>
      </c>
      <c r="C90" s="2">
        <v>46291</v>
      </c>
      <c r="D90" s="3">
        <v>0.63541666666666663</v>
      </c>
      <c r="E90">
        <v>173</v>
      </c>
      <c r="F90">
        <v>166</v>
      </c>
      <c r="G90">
        <v>6</v>
      </c>
      <c r="H90" s="1" t="s">
        <v>35</v>
      </c>
      <c r="I90">
        <v>12.2</v>
      </c>
      <c r="J90">
        <v>18</v>
      </c>
      <c r="K90" s="1" t="s">
        <v>36</v>
      </c>
      <c r="L90" s="1" t="s">
        <v>32</v>
      </c>
      <c r="M90">
        <v>1</v>
      </c>
      <c r="N90">
        <v>0</v>
      </c>
      <c r="O90" s="1" t="s">
        <v>27</v>
      </c>
      <c r="P90">
        <v>1</v>
      </c>
      <c r="Q90">
        <v>1</v>
      </c>
      <c r="R90">
        <v>5</v>
      </c>
      <c r="S90">
        <v>15</v>
      </c>
      <c r="T90">
        <v>0</v>
      </c>
      <c r="U90">
        <v>0</v>
      </c>
      <c r="V90">
        <v>14.18</v>
      </c>
    </row>
    <row r="91" spans="1:22">
      <c r="A91" s="1" t="s">
        <v>137</v>
      </c>
      <c r="B91" s="1" t="s">
        <v>23</v>
      </c>
      <c r="C91" s="2">
        <v>46295</v>
      </c>
      <c r="D91" s="3">
        <v>0.92708333333333337</v>
      </c>
      <c r="E91">
        <v>185</v>
      </c>
      <c r="F91">
        <v>174</v>
      </c>
      <c r="G91">
        <v>7</v>
      </c>
      <c r="H91" s="1" t="s">
        <v>24</v>
      </c>
      <c r="I91">
        <v>15</v>
      </c>
      <c r="J91">
        <v>16</v>
      </c>
      <c r="K91" s="1" t="s">
        <v>25</v>
      </c>
      <c r="L91" s="1" t="s">
        <v>69</v>
      </c>
      <c r="M91">
        <v>0</v>
      </c>
      <c r="N91">
        <v>0</v>
      </c>
      <c r="O91" s="1" t="s">
        <v>27</v>
      </c>
      <c r="P91">
        <v>1</v>
      </c>
      <c r="Q91">
        <v>1</v>
      </c>
      <c r="R91">
        <v>2</v>
      </c>
      <c r="S91">
        <v>22</v>
      </c>
      <c r="T91">
        <v>0</v>
      </c>
      <c r="U91">
        <v>0</v>
      </c>
      <c r="V91">
        <v>12.33</v>
      </c>
    </row>
    <row r="92" spans="1:22">
      <c r="A92" s="1" t="s">
        <v>138</v>
      </c>
      <c r="B92" s="1" t="s">
        <v>45</v>
      </c>
      <c r="C92" s="2">
        <v>46269</v>
      </c>
      <c r="D92" s="3">
        <v>0.88541666666666663</v>
      </c>
      <c r="E92">
        <v>184</v>
      </c>
      <c r="F92">
        <v>178</v>
      </c>
      <c r="G92">
        <v>4</v>
      </c>
      <c r="H92" s="1" t="s">
        <v>46</v>
      </c>
      <c r="I92">
        <v>18.5</v>
      </c>
      <c r="J92">
        <v>22</v>
      </c>
      <c r="K92" s="1" t="s">
        <v>47</v>
      </c>
      <c r="L92" s="1" t="s">
        <v>49</v>
      </c>
      <c r="M92">
        <v>0</v>
      </c>
      <c r="N92">
        <v>0</v>
      </c>
      <c r="O92" s="1" t="s">
        <v>27</v>
      </c>
      <c r="P92">
        <v>1</v>
      </c>
      <c r="Q92">
        <v>1</v>
      </c>
      <c r="R92">
        <v>2</v>
      </c>
      <c r="S92">
        <v>21</v>
      </c>
      <c r="T92">
        <v>0</v>
      </c>
      <c r="U92">
        <v>0</v>
      </c>
      <c r="V92">
        <v>9.9499999999999993</v>
      </c>
    </row>
    <row r="93" spans="1:22">
      <c r="A93" s="1" t="s">
        <v>139</v>
      </c>
      <c r="B93" s="1" t="s">
        <v>45</v>
      </c>
      <c r="C93" s="2">
        <v>46290</v>
      </c>
      <c r="D93" s="3">
        <v>0.52083333333333337</v>
      </c>
      <c r="E93">
        <v>50</v>
      </c>
      <c r="F93">
        <v>49</v>
      </c>
      <c r="G93">
        <v>4</v>
      </c>
      <c r="H93" s="1" t="s">
        <v>46</v>
      </c>
      <c r="I93">
        <v>18.5</v>
      </c>
      <c r="J93">
        <v>22</v>
      </c>
      <c r="K93" s="1" t="s">
        <v>47</v>
      </c>
      <c r="L93" s="1" t="s">
        <v>49</v>
      </c>
      <c r="M93">
        <v>0</v>
      </c>
      <c r="N93">
        <v>0</v>
      </c>
      <c r="O93" s="1" t="s">
        <v>27</v>
      </c>
      <c r="P93">
        <v>1</v>
      </c>
      <c r="Q93">
        <v>1</v>
      </c>
      <c r="R93">
        <v>0</v>
      </c>
      <c r="S93">
        <v>12</v>
      </c>
      <c r="T93">
        <v>0</v>
      </c>
      <c r="U93">
        <v>0</v>
      </c>
      <c r="V93">
        <v>2.7</v>
      </c>
    </row>
    <row r="94" spans="1:22">
      <c r="A94" s="1" t="s">
        <v>140</v>
      </c>
      <c r="B94" s="1" t="s">
        <v>29</v>
      </c>
      <c r="C94" s="2">
        <v>46278</v>
      </c>
      <c r="D94" s="3">
        <v>0.5</v>
      </c>
      <c r="E94">
        <v>119</v>
      </c>
      <c r="F94">
        <v>104</v>
      </c>
      <c r="G94">
        <v>5</v>
      </c>
      <c r="H94" s="1" t="s">
        <v>30</v>
      </c>
      <c r="I94">
        <v>32</v>
      </c>
      <c r="J94">
        <v>14</v>
      </c>
      <c r="K94" s="1" t="s">
        <v>31</v>
      </c>
      <c r="L94" s="1" t="s">
        <v>38</v>
      </c>
      <c r="M94">
        <v>1</v>
      </c>
      <c r="N94">
        <v>0</v>
      </c>
      <c r="O94" s="1" t="s">
        <v>27</v>
      </c>
      <c r="P94">
        <v>1</v>
      </c>
      <c r="Q94">
        <v>1</v>
      </c>
      <c r="R94">
        <v>1</v>
      </c>
      <c r="S94">
        <v>12</v>
      </c>
      <c r="T94">
        <v>0</v>
      </c>
      <c r="U94">
        <v>0</v>
      </c>
      <c r="V94">
        <v>3.72</v>
      </c>
    </row>
    <row r="95" spans="1:22">
      <c r="A95" s="1" t="s">
        <v>141</v>
      </c>
      <c r="B95" s="1" t="s">
        <v>45</v>
      </c>
      <c r="C95" s="2">
        <v>46275</v>
      </c>
      <c r="D95" s="3">
        <v>0.6875</v>
      </c>
      <c r="E95">
        <v>142</v>
      </c>
      <c r="F95">
        <v>131</v>
      </c>
      <c r="G95">
        <v>6</v>
      </c>
      <c r="H95" s="1" t="s">
        <v>46</v>
      </c>
      <c r="I95">
        <v>18.5</v>
      </c>
      <c r="J95">
        <v>22</v>
      </c>
      <c r="K95" s="1" t="s">
        <v>47</v>
      </c>
      <c r="L95" s="1" t="s">
        <v>56</v>
      </c>
      <c r="M95">
        <v>0</v>
      </c>
      <c r="N95">
        <v>0</v>
      </c>
      <c r="O95" s="1" t="s">
        <v>27</v>
      </c>
      <c r="P95">
        <v>1</v>
      </c>
      <c r="Q95">
        <v>1</v>
      </c>
      <c r="R95">
        <v>4</v>
      </c>
      <c r="S95">
        <v>16</v>
      </c>
      <c r="T95">
        <v>0</v>
      </c>
      <c r="U95">
        <v>0</v>
      </c>
      <c r="V95">
        <v>7.68</v>
      </c>
    </row>
    <row r="96" spans="1:22">
      <c r="A96" s="1" t="s">
        <v>142</v>
      </c>
      <c r="B96" s="1" t="s">
        <v>45</v>
      </c>
      <c r="C96" s="2">
        <v>46290</v>
      </c>
      <c r="D96" s="3">
        <v>0.5</v>
      </c>
      <c r="E96">
        <v>128</v>
      </c>
      <c r="F96">
        <v>126</v>
      </c>
      <c r="G96">
        <v>4</v>
      </c>
      <c r="H96" s="1" t="s">
        <v>46</v>
      </c>
      <c r="I96">
        <v>18.5</v>
      </c>
      <c r="J96">
        <v>22</v>
      </c>
      <c r="K96" s="1" t="s">
        <v>47</v>
      </c>
      <c r="L96" s="1" t="s">
        <v>49</v>
      </c>
      <c r="M96">
        <v>0</v>
      </c>
      <c r="N96">
        <v>0</v>
      </c>
      <c r="O96" s="1" t="s">
        <v>27</v>
      </c>
      <c r="P96">
        <v>1</v>
      </c>
      <c r="Q96">
        <v>1</v>
      </c>
      <c r="R96">
        <v>0</v>
      </c>
      <c r="S96">
        <v>12</v>
      </c>
      <c r="T96">
        <v>0</v>
      </c>
      <c r="U96">
        <v>0</v>
      </c>
      <c r="V96">
        <v>6.92</v>
      </c>
    </row>
    <row r="97" spans="1:22">
      <c r="A97" s="1" t="s">
        <v>143</v>
      </c>
      <c r="B97" s="1" t="s">
        <v>59</v>
      </c>
      <c r="C97" s="2">
        <v>46283</v>
      </c>
      <c r="D97" s="3">
        <v>0.78125</v>
      </c>
      <c r="E97">
        <v>78</v>
      </c>
      <c r="F97">
        <v>77</v>
      </c>
      <c r="G97">
        <v>4</v>
      </c>
      <c r="H97" s="1" t="s">
        <v>60</v>
      </c>
      <c r="I97">
        <v>24.8</v>
      </c>
      <c r="J97">
        <v>28</v>
      </c>
      <c r="K97" s="1" t="s">
        <v>61</v>
      </c>
      <c r="L97" s="1" t="s">
        <v>49</v>
      </c>
      <c r="M97">
        <v>0</v>
      </c>
      <c r="N97">
        <v>0</v>
      </c>
      <c r="O97" s="1" t="s">
        <v>27</v>
      </c>
      <c r="P97">
        <v>1</v>
      </c>
      <c r="Q97">
        <v>1</v>
      </c>
      <c r="R97">
        <v>5</v>
      </c>
      <c r="S97">
        <v>18</v>
      </c>
      <c r="T97">
        <v>1</v>
      </c>
      <c r="U97">
        <v>0</v>
      </c>
      <c r="V97">
        <v>3.15</v>
      </c>
    </row>
    <row r="98" spans="1:22">
      <c r="A98" s="1" t="s">
        <v>144</v>
      </c>
      <c r="B98" s="1" t="s">
        <v>29</v>
      </c>
      <c r="C98" s="2">
        <v>46273</v>
      </c>
      <c r="D98" s="3">
        <v>0.20833333333333334</v>
      </c>
      <c r="E98">
        <v>132</v>
      </c>
      <c r="F98">
        <v>126</v>
      </c>
      <c r="G98">
        <v>4</v>
      </c>
      <c r="H98" s="1" t="s">
        <v>30</v>
      </c>
      <c r="I98">
        <v>32</v>
      </c>
      <c r="J98">
        <v>14</v>
      </c>
      <c r="K98" s="1" t="s">
        <v>31</v>
      </c>
      <c r="L98" s="1" t="s">
        <v>26</v>
      </c>
      <c r="M98">
        <v>0</v>
      </c>
      <c r="N98">
        <v>0</v>
      </c>
      <c r="O98" s="1" t="s">
        <v>27</v>
      </c>
      <c r="P98">
        <v>1</v>
      </c>
      <c r="Q98">
        <v>1</v>
      </c>
      <c r="R98">
        <v>1</v>
      </c>
      <c r="S98">
        <v>5</v>
      </c>
      <c r="T98">
        <v>0</v>
      </c>
      <c r="U98">
        <v>0</v>
      </c>
      <c r="V98">
        <v>4.12</v>
      </c>
    </row>
    <row r="99" spans="1:22">
      <c r="A99" s="1" t="s">
        <v>145</v>
      </c>
      <c r="B99" s="1" t="s">
        <v>59</v>
      </c>
      <c r="C99" s="2">
        <v>46273</v>
      </c>
      <c r="D99" s="3">
        <v>0.84375</v>
      </c>
      <c r="E99">
        <v>104</v>
      </c>
      <c r="F99">
        <v>120</v>
      </c>
      <c r="G99">
        <v>5</v>
      </c>
      <c r="H99" s="1" t="s">
        <v>60</v>
      </c>
      <c r="I99">
        <v>24.8</v>
      </c>
      <c r="J99">
        <v>28</v>
      </c>
      <c r="K99" s="1" t="s">
        <v>61</v>
      </c>
      <c r="L99" s="1" t="s">
        <v>26</v>
      </c>
      <c r="M99">
        <v>0</v>
      </c>
      <c r="N99">
        <v>0</v>
      </c>
      <c r="O99" s="1" t="s">
        <v>27</v>
      </c>
      <c r="P99">
        <v>1</v>
      </c>
      <c r="Q99">
        <v>1</v>
      </c>
      <c r="R99">
        <v>2</v>
      </c>
      <c r="S99">
        <v>20</v>
      </c>
      <c r="T99">
        <v>0</v>
      </c>
      <c r="U99">
        <v>0</v>
      </c>
      <c r="V99">
        <v>4.1900000000000004</v>
      </c>
    </row>
    <row r="100" spans="1:22">
      <c r="A100" s="1" t="s">
        <v>146</v>
      </c>
      <c r="B100" s="1" t="s">
        <v>23</v>
      </c>
      <c r="C100" s="2">
        <v>46272</v>
      </c>
      <c r="D100" s="3">
        <v>0.83333333333333337</v>
      </c>
      <c r="E100">
        <v>68</v>
      </c>
      <c r="F100">
        <v>62</v>
      </c>
      <c r="G100">
        <v>4</v>
      </c>
      <c r="H100" s="1" t="s">
        <v>24</v>
      </c>
      <c r="I100">
        <v>15</v>
      </c>
      <c r="J100">
        <v>16</v>
      </c>
      <c r="K100" s="1" t="s">
        <v>25</v>
      </c>
      <c r="L100" s="1" t="s">
        <v>65</v>
      </c>
      <c r="M100">
        <v>0</v>
      </c>
      <c r="N100">
        <v>0</v>
      </c>
      <c r="O100" s="1" t="s">
        <v>27</v>
      </c>
      <c r="P100">
        <v>1</v>
      </c>
      <c r="Q100">
        <v>1</v>
      </c>
      <c r="R100">
        <v>4</v>
      </c>
      <c r="S100">
        <v>20</v>
      </c>
      <c r="T100">
        <v>0</v>
      </c>
      <c r="U100">
        <v>0</v>
      </c>
      <c r="V100">
        <v>4.53</v>
      </c>
    </row>
    <row r="101" spans="1:22">
      <c r="A101" s="1" t="s">
        <v>147</v>
      </c>
      <c r="B101" s="1" t="s">
        <v>23</v>
      </c>
      <c r="C101" s="2">
        <v>46273</v>
      </c>
      <c r="D101" s="3">
        <v>0.55208333333333337</v>
      </c>
      <c r="E101">
        <v>110</v>
      </c>
      <c r="F101">
        <v>103</v>
      </c>
      <c r="G101">
        <v>6</v>
      </c>
      <c r="H101" s="1" t="s">
        <v>24</v>
      </c>
      <c r="I101">
        <v>15</v>
      </c>
      <c r="J101">
        <v>16</v>
      </c>
      <c r="K101" s="1" t="s">
        <v>25</v>
      </c>
      <c r="L101" s="1" t="s">
        <v>26</v>
      </c>
      <c r="M101">
        <v>0</v>
      </c>
      <c r="N101">
        <v>0</v>
      </c>
      <c r="O101" s="1" t="s">
        <v>27</v>
      </c>
      <c r="P101">
        <v>1</v>
      </c>
      <c r="Q101">
        <v>1</v>
      </c>
      <c r="R101">
        <v>19</v>
      </c>
      <c r="S101">
        <v>13</v>
      </c>
      <c r="T101">
        <v>0</v>
      </c>
      <c r="U101">
        <v>0</v>
      </c>
      <c r="V101">
        <v>7.33</v>
      </c>
    </row>
    <row r="102" spans="1:22">
      <c r="A102" s="1" t="s">
        <v>148</v>
      </c>
      <c r="B102" s="1" t="s">
        <v>59</v>
      </c>
      <c r="C102" s="2">
        <v>46279</v>
      </c>
      <c r="D102" s="3">
        <v>0.26041666666666669</v>
      </c>
      <c r="E102">
        <v>156</v>
      </c>
      <c r="F102">
        <v>145</v>
      </c>
      <c r="G102">
        <v>6</v>
      </c>
      <c r="H102" s="1" t="s">
        <v>60</v>
      </c>
      <c r="I102">
        <v>24.8</v>
      </c>
      <c r="J102">
        <v>28</v>
      </c>
      <c r="K102" s="1" t="s">
        <v>61</v>
      </c>
      <c r="L102" s="1" t="s">
        <v>65</v>
      </c>
      <c r="M102">
        <v>0</v>
      </c>
      <c r="N102">
        <v>0</v>
      </c>
      <c r="O102" s="1" t="s">
        <v>27</v>
      </c>
      <c r="P102">
        <v>1</v>
      </c>
      <c r="Q102">
        <v>1</v>
      </c>
      <c r="R102">
        <v>3</v>
      </c>
      <c r="S102">
        <v>6</v>
      </c>
      <c r="T102">
        <v>0</v>
      </c>
      <c r="U102">
        <v>0</v>
      </c>
      <c r="V102">
        <v>6.29</v>
      </c>
    </row>
    <row r="103" spans="1:22">
      <c r="A103" s="1" t="s">
        <v>149</v>
      </c>
      <c r="B103" s="1" t="s">
        <v>23</v>
      </c>
      <c r="C103" s="2">
        <v>46284</v>
      </c>
      <c r="D103" s="3">
        <v>0.4375</v>
      </c>
      <c r="E103">
        <v>185</v>
      </c>
      <c r="F103">
        <v>165</v>
      </c>
      <c r="G103">
        <v>6</v>
      </c>
      <c r="H103" s="1" t="s">
        <v>24</v>
      </c>
      <c r="I103">
        <v>15</v>
      </c>
      <c r="J103">
        <v>16</v>
      </c>
      <c r="K103" s="1" t="s">
        <v>25</v>
      </c>
      <c r="L103" s="1" t="s">
        <v>32</v>
      </c>
      <c r="M103">
        <v>1</v>
      </c>
      <c r="N103">
        <v>1</v>
      </c>
      <c r="O103" s="1" t="s">
        <v>27</v>
      </c>
      <c r="P103">
        <v>1</v>
      </c>
      <c r="Q103">
        <v>1</v>
      </c>
      <c r="R103">
        <v>9</v>
      </c>
      <c r="S103">
        <v>10</v>
      </c>
      <c r="T103">
        <v>1</v>
      </c>
      <c r="U103">
        <v>0</v>
      </c>
      <c r="V103">
        <v>12.33</v>
      </c>
    </row>
    <row r="104" spans="1:22">
      <c r="A104" s="1" t="s">
        <v>150</v>
      </c>
      <c r="B104" s="1" t="s">
        <v>29</v>
      </c>
      <c r="C104" s="2">
        <v>46294</v>
      </c>
      <c r="D104" s="3">
        <v>0.54166666666666663</v>
      </c>
      <c r="E104">
        <v>79</v>
      </c>
      <c r="F104">
        <v>75</v>
      </c>
      <c r="G104">
        <v>5</v>
      </c>
      <c r="H104" s="1" t="s">
        <v>30</v>
      </c>
      <c r="I104">
        <v>32</v>
      </c>
      <c r="J104">
        <v>14</v>
      </c>
      <c r="K104" s="1" t="s">
        <v>31</v>
      </c>
      <c r="L104" s="1" t="s">
        <v>26</v>
      </c>
      <c r="M104">
        <v>0</v>
      </c>
      <c r="N104">
        <v>0</v>
      </c>
      <c r="O104" s="1" t="s">
        <v>27</v>
      </c>
      <c r="P104">
        <v>1</v>
      </c>
      <c r="Q104">
        <v>1</v>
      </c>
      <c r="R104">
        <v>7</v>
      </c>
      <c r="S104">
        <v>13</v>
      </c>
      <c r="T104">
        <v>0</v>
      </c>
      <c r="U104">
        <v>0</v>
      </c>
      <c r="V104">
        <v>2.4700000000000002</v>
      </c>
    </row>
    <row r="105" spans="1:22">
      <c r="A105" s="1" t="s">
        <v>151</v>
      </c>
      <c r="B105" s="1" t="s">
        <v>45</v>
      </c>
      <c r="C105" s="2">
        <v>46271</v>
      </c>
      <c r="D105" s="3">
        <v>0.54166666666666663</v>
      </c>
      <c r="E105">
        <v>143</v>
      </c>
      <c r="F105">
        <v>136</v>
      </c>
      <c r="G105">
        <v>7</v>
      </c>
      <c r="H105" s="1" t="s">
        <v>46</v>
      </c>
      <c r="I105">
        <v>18.5</v>
      </c>
      <c r="J105">
        <v>22</v>
      </c>
      <c r="K105" s="1" t="s">
        <v>47</v>
      </c>
      <c r="L105" s="1" t="s">
        <v>38</v>
      </c>
      <c r="M105">
        <v>1</v>
      </c>
      <c r="N105">
        <v>0</v>
      </c>
      <c r="O105" s="1" t="s">
        <v>27</v>
      </c>
      <c r="P105">
        <v>1</v>
      </c>
      <c r="Q105">
        <v>1</v>
      </c>
      <c r="R105">
        <v>3</v>
      </c>
      <c r="S105">
        <v>13</v>
      </c>
      <c r="T105">
        <v>0</v>
      </c>
      <c r="U105">
        <v>0</v>
      </c>
      <c r="V105">
        <v>7.73</v>
      </c>
    </row>
    <row r="106" spans="1:22">
      <c r="A106" s="1" t="s">
        <v>152</v>
      </c>
      <c r="B106" s="1" t="s">
        <v>59</v>
      </c>
      <c r="C106" s="2">
        <v>46266</v>
      </c>
      <c r="D106" s="3">
        <v>0.83333333333333337</v>
      </c>
      <c r="E106">
        <v>55</v>
      </c>
      <c r="F106">
        <v>48</v>
      </c>
      <c r="G106">
        <v>4</v>
      </c>
      <c r="H106" s="1" t="s">
        <v>60</v>
      </c>
      <c r="I106">
        <v>24.8</v>
      </c>
      <c r="J106">
        <v>28</v>
      </c>
      <c r="K106" s="1" t="s">
        <v>61</v>
      </c>
      <c r="L106" s="1" t="s">
        <v>26</v>
      </c>
      <c r="M106">
        <v>0</v>
      </c>
      <c r="N106">
        <v>0</v>
      </c>
      <c r="O106" s="1" t="s">
        <v>27</v>
      </c>
      <c r="P106">
        <v>1</v>
      </c>
      <c r="Q106">
        <v>1</v>
      </c>
      <c r="R106">
        <v>6</v>
      </c>
      <c r="S106">
        <v>20</v>
      </c>
      <c r="T106">
        <v>0</v>
      </c>
      <c r="U106">
        <v>0</v>
      </c>
      <c r="V106">
        <v>2.2200000000000002</v>
      </c>
    </row>
    <row r="107" spans="1:22">
      <c r="A107" s="1" t="s">
        <v>153</v>
      </c>
      <c r="B107" s="1" t="s">
        <v>34</v>
      </c>
      <c r="C107" s="2">
        <v>46288</v>
      </c>
      <c r="D107" s="3">
        <v>0.54166666666666663</v>
      </c>
      <c r="E107">
        <v>147</v>
      </c>
      <c r="F107">
        <v>151</v>
      </c>
      <c r="G107">
        <v>6</v>
      </c>
      <c r="H107" s="1" t="s">
        <v>35</v>
      </c>
      <c r="I107">
        <v>12.2</v>
      </c>
      <c r="J107">
        <v>18</v>
      </c>
      <c r="K107" s="1" t="s">
        <v>36</v>
      </c>
      <c r="L107" s="1" t="s">
        <v>69</v>
      </c>
      <c r="M107">
        <v>0</v>
      </c>
      <c r="N107">
        <v>0</v>
      </c>
      <c r="O107" s="1" t="s">
        <v>27</v>
      </c>
      <c r="P107">
        <v>1</v>
      </c>
      <c r="Q107">
        <v>1</v>
      </c>
      <c r="R107">
        <v>0</v>
      </c>
      <c r="S107">
        <v>13</v>
      </c>
      <c r="T107">
        <v>0</v>
      </c>
      <c r="U107">
        <v>0</v>
      </c>
      <c r="V107">
        <v>12.05</v>
      </c>
    </row>
    <row r="108" spans="1:22">
      <c r="A108" s="1" t="s">
        <v>154</v>
      </c>
      <c r="B108" s="1" t="s">
        <v>34</v>
      </c>
      <c r="C108" s="2">
        <v>46280</v>
      </c>
      <c r="D108" s="3">
        <v>0.72916666666666663</v>
      </c>
      <c r="E108">
        <v>68</v>
      </c>
      <c r="F108">
        <v>70</v>
      </c>
      <c r="G108">
        <v>4</v>
      </c>
      <c r="H108" s="1" t="s">
        <v>35</v>
      </c>
      <c r="I108">
        <v>12.2</v>
      </c>
      <c r="J108">
        <v>18</v>
      </c>
      <c r="K108" s="1" t="s">
        <v>36</v>
      </c>
      <c r="L108" s="1" t="s">
        <v>26</v>
      </c>
      <c r="M108">
        <v>0</v>
      </c>
      <c r="N108">
        <v>0</v>
      </c>
      <c r="O108" s="1" t="s">
        <v>27</v>
      </c>
      <c r="P108">
        <v>1</v>
      </c>
      <c r="Q108">
        <v>1</v>
      </c>
      <c r="R108">
        <v>2</v>
      </c>
      <c r="S108">
        <v>17</v>
      </c>
      <c r="T108">
        <v>1</v>
      </c>
      <c r="U108">
        <v>0</v>
      </c>
      <c r="V108">
        <v>5.57</v>
      </c>
    </row>
    <row r="109" spans="1:22">
      <c r="A109" s="1" t="s">
        <v>155</v>
      </c>
      <c r="B109" s="1" t="s">
        <v>45</v>
      </c>
      <c r="C109" s="2">
        <v>46266</v>
      </c>
      <c r="D109" s="3">
        <v>0.5625</v>
      </c>
      <c r="E109">
        <v>113</v>
      </c>
      <c r="F109">
        <v>107</v>
      </c>
      <c r="G109">
        <v>5</v>
      </c>
      <c r="H109" s="1" t="s">
        <v>46</v>
      </c>
      <c r="I109">
        <v>18.5</v>
      </c>
      <c r="J109">
        <v>22</v>
      </c>
      <c r="K109" s="1" t="s">
        <v>47</v>
      </c>
      <c r="L109" s="1" t="s">
        <v>26</v>
      </c>
      <c r="M109">
        <v>0</v>
      </c>
      <c r="N109">
        <v>0</v>
      </c>
      <c r="O109" s="1" t="s">
        <v>27</v>
      </c>
      <c r="P109">
        <v>1</v>
      </c>
      <c r="Q109">
        <v>1</v>
      </c>
      <c r="R109">
        <v>1</v>
      </c>
      <c r="S109">
        <v>13</v>
      </c>
      <c r="T109">
        <v>0</v>
      </c>
      <c r="U109">
        <v>0</v>
      </c>
      <c r="V109">
        <v>6.11</v>
      </c>
    </row>
    <row r="110" spans="1:22">
      <c r="A110" s="1" t="s">
        <v>156</v>
      </c>
      <c r="B110" s="1" t="s">
        <v>23</v>
      </c>
      <c r="C110" s="2">
        <v>46290</v>
      </c>
      <c r="D110" s="3">
        <v>0.34375</v>
      </c>
      <c r="E110">
        <v>85</v>
      </c>
      <c r="F110">
        <v>88</v>
      </c>
      <c r="G110">
        <v>5</v>
      </c>
      <c r="H110" s="1" t="s">
        <v>24</v>
      </c>
      <c r="I110">
        <v>15</v>
      </c>
      <c r="J110">
        <v>16</v>
      </c>
      <c r="K110" s="1" t="s">
        <v>25</v>
      </c>
      <c r="L110" s="1" t="s">
        <v>49</v>
      </c>
      <c r="M110">
        <v>0</v>
      </c>
      <c r="N110">
        <v>0</v>
      </c>
      <c r="O110" s="1" t="s">
        <v>27</v>
      </c>
      <c r="P110">
        <v>1</v>
      </c>
      <c r="Q110">
        <v>1</v>
      </c>
      <c r="R110">
        <v>3</v>
      </c>
      <c r="S110">
        <v>8</v>
      </c>
      <c r="T110">
        <v>1</v>
      </c>
      <c r="U110">
        <v>0</v>
      </c>
      <c r="V110">
        <v>5.67</v>
      </c>
    </row>
    <row r="111" spans="1:22">
      <c r="A111" s="1" t="s">
        <v>157</v>
      </c>
      <c r="B111" s="1" t="s">
        <v>34</v>
      </c>
      <c r="C111" s="2">
        <v>46282</v>
      </c>
      <c r="D111" s="3">
        <v>0.42708333333333331</v>
      </c>
      <c r="E111">
        <v>167</v>
      </c>
      <c r="F111">
        <v>173</v>
      </c>
      <c r="G111">
        <v>7</v>
      </c>
      <c r="H111" s="1" t="s">
        <v>35</v>
      </c>
      <c r="I111">
        <v>12.2</v>
      </c>
      <c r="J111">
        <v>18</v>
      </c>
      <c r="K111" s="1" t="s">
        <v>36</v>
      </c>
      <c r="L111" s="1" t="s">
        <v>56</v>
      </c>
      <c r="M111">
        <v>0</v>
      </c>
      <c r="N111">
        <v>0</v>
      </c>
      <c r="O111" s="1" t="s">
        <v>27</v>
      </c>
      <c r="P111">
        <v>1</v>
      </c>
      <c r="Q111">
        <v>1</v>
      </c>
      <c r="R111">
        <v>4</v>
      </c>
      <c r="S111">
        <v>10</v>
      </c>
      <c r="T111">
        <v>1</v>
      </c>
      <c r="U111">
        <v>0</v>
      </c>
      <c r="V111">
        <v>13.69</v>
      </c>
    </row>
    <row r="112" spans="1:22">
      <c r="A112" s="1" t="s">
        <v>158</v>
      </c>
      <c r="B112" s="1" t="s">
        <v>45</v>
      </c>
      <c r="C112" s="2">
        <v>46266</v>
      </c>
      <c r="D112" s="3">
        <v>0.34375</v>
      </c>
      <c r="E112">
        <v>127</v>
      </c>
      <c r="F112">
        <v>115</v>
      </c>
      <c r="G112">
        <v>5</v>
      </c>
      <c r="H112" s="1" t="s">
        <v>46</v>
      </c>
      <c r="I112">
        <v>18.5</v>
      </c>
      <c r="J112">
        <v>22</v>
      </c>
      <c r="K112" s="1" t="s">
        <v>47</v>
      </c>
      <c r="L112" s="1" t="s">
        <v>26</v>
      </c>
      <c r="M112">
        <v>0</v>
      </c>
      <c r="N112">
        <v>0</v>
      </c>
      <c r="O112" s="1" t="s">
        <v>27</v>
      </c>
      <c r="P112">
        <v>1</v>
      </c>
      <c r="Q112">
        <v>1</v>
      </c>
      <c r="R112">
        <v>4</v>
      </c>
      <c r="S112">
        <v>8</v>
      </c>
      <c r="T112">
        <v>1</v>
      </c>
      <c r="U112">
        <v>0</v>
      </c>
      <c r="V112">
        <v>6.86</v>
      </c>
    </row>
    <row r="113" spans="1:22">
      <c r="A113" s="1" t="s">
        <v>159</v>
      </c>
      <c r="B113" s="1" t="s">
        <v>45</v>
      </c>
      <c r="C113" s="2">
        <v>46280</v>
      </c>
      <c r="D113" s="3">
        <v>0.42708333333333331</v>
      </c>
      <c r="E113">
        <v>217</v>
      </c>
      <c r="F113">
        <v>224</v>
      </c>
      <c r="G113">
        <v>6</v>
      </c>
      <c r="H113" s="1" t="s">
        <v>46</v>
      </c>
      <c r="I113">
        <v>18.5</v>
      </c>
      <c r="J113">
        <v>22</v>
      </c>
      <c r="K113" s="1" t="s">
        <v>47</v>
      </c>
      <c r="L113" s="1" t="s">
        <v>26</v>
      </c>
      <c r="M113">
        <v>0</v>
      </c>
      <c r="N113">
        <v>0</v>
      </c>
      <c r="O113" s="1" t="s">
        <v>27</v>
      </c>
      <c r="P113">
        <v>1</v>
      </c>
      <c r="Q113">
        <v>1</v>
      </c>
      <c r="R113">
        <v>2</v>
      </c>
      <c r="S113">
        <v>10</v>
      </c>
      <c r="T113">
        <v>1</v>
      </c>
      <c r="U113">
        <v>0</v>
      </c>
      <c r="V113">
        <v>11.73</v>
      </c>
    </row>
    <row r="114" spans="1:22">
      <c r="A114" s="1" t="s">
        <v>160</v>
      </c>
      <c r="B114" s="1" t="s">
        <v>29</v>
      </c>
      <c r="C114" s="2">
        <v>46288</v>
      </c>
      <c r="D114" s="3">
        <v>0.91666666666666663</v>
      </c>
      <c r="E114">
        <v>28</v>
      </c>
      <c r="F114">
        <v>22</v>
      </c>
      <c r="G114">
        <v>3</v>
      </c>
      <c r="H114" s="1" t="s">
        <v>30</v>
      </c>
      <c r="I114">
        <v>32</v>
      </c>
      <c r="J114">
        <v>14</v>
      </c>
      <c r="K114" s="1" t="s">
        <v>31</v>
      </c>
      <c r="L114" s="1" t="s">
        <v>69</v>
      </c>
      <c r="M114">
        <v>0</v>
      </c>
      <c r="N114">
        <v>0</v>
      </c>
      <c r="O114" s="1" t="s">
        <v>27</v>
      </c>
      <c r="P114">
        <v>1</v>
      </c>
      <c r="Q114">
        <v>1</v>
      </c>
      <c r="R114">
        <v>3</v>
      </c>
      <c r="S114">
        <v>22</v>
      </c>
      <c r="T114">
        <v>0</v>
      </c>
      <c r="U114">
        <v>0</v>
      </c>
      <c r="V114">
        <v>0.88</v>
      </c>
    </row>
    <row r="115" spans="1:22">
      <c r="A115" s="1" t="s">
        <v>161</v>
      </c>
      <c r="B115" s="1" t="s">
        <v>29</v>
      </c>
      <c r="C115" s="2">
        <v>46267</v>
      </c>
      <c r="D115" s="3">
        <v>0.5625</v>
      </c>
      <c r="E115">
        <v>69</v>
      </c>
      <c r="F115">
        <v>63</v>
      </c>
      <c r="G115">
        <v>4</v>
      </c>
      <c r="H115" s="1" t="s">
        <v>30</v>
      </c>
      <c r="I115">
        <v>32</v>
      </c>
      <c r="J115">
        <v>14</v>
      </c>
      <c r="K115" s="1" t="s">
        <v>31</v>
      </c>
      <c r="L115" s="1" t="s">
        <v>69</v>
      </c>
      <c r="M115">
        <v>0</v>
      </c>
      <c r="N115">
        <v>0</v>
      </c>
      <c r="O115" s="1" t="s">
        <v>27</v>
      </c>
      <c r="P115">
        <v>1</v>
      </c>
      <c r="Q115">
        <v>1</v>
      </c>
      <c r="R115">
        <v>0</v>
      </c>
      <c r="S115">
        <v>13</v>
      </c>
      <c r="T115">
        <v>0</v>
      </c>
      <c r="U115">
        <v>0</v>
      </c>
      <c r="V115">
        <v>2.16</v>
      </c>
    </row>
    <row r="116" spans="1:22">
      <c r="A116" s="1" t="s">
        <v>162</v>
      </c>
      <c r="B116" s="1" t="s">
        <v>29</v>
      </c>
      <c r="C116" s="2">
        <v>46279</v>
      </c>
      <c r="D116" s="3">
        <v>0.72916666666666663</v>
      </c>
      <c r="E116">
        <v>203</v>
      </c>
      <c r="F116">
        <v>205</v>
      </c>
      <c r="G116">
        <v>6</v>
      </c>
      <c r="H116" s="1" t="s">
        <v>30</v>
      </c>
      <c r="I116">
        <v>32</v>
      </c>
      <c r="J116">
        <v>14</v>
      </c>
      <c r="K116" s="1" t="s">
        <v>31</v>
      </c>
      <c r="L116" s="1" t="s">
        <v>65</v>
      </c>
      <c r="M116">
        <v>0</v>
      </c>
      <c r="N116">
        <v>0</v>
      </c>
      <c r="O116" s="1" t="s">
        <v>27</v>
      </c>
      <c r="P116">
        <v>1</v>
      </c>
      <c r="Q116">
        <v>1</v>
      </c>
      <c r="R116">
        <v>13</v>
      </c>
      <c r="S116">
        <v>17</v>
      </c>
      <c r="T116">
        <v>1</v>
      </c>
      <c r="U116">
        <v>0</v>
      </c>
      <c r="V116">
        <v>6.34</v>
      </c>
    </row>
    <row r="117" spans="1:22">
      <c r="A117" s="1" t="s">
        <v>163</v>
      </c>
      <c r="B117" s="1" t="s">
        <v>34</v>
      </c>
      <c r="C117" s="2">
        <v>46286</v>
      </c>
      <c r="D117" s="3">
        <v>0.23958333333333334</v>
      </c>
      <c r="E117">
        <v>24</v>
      </c>
      <c r="F117">
        <v>23</v>
      </c>
      <c r="G117">
        <v>3</v>
      </c>
      <c r="H117" s="1" t="s">
        <v>35</v>
      </c>
      <c r="I117">
        <v>12.2</v>
      </c>
      <c r="J117">
        <v>18</v>
      </c>
      <c r="K117" s="1" t="s">
        <v>36</v>
      </c>
      <c r="L117" s="1" t="s">
        <v>65</v>
      </c>
      <c r="M117">
        <v>0</v>
      </c>
      <c r="N117">
        <v>0</v>
      </c>
      <c r="O117" s="1" t="s">
        <v>27</v>
      </c>
      <c r="P117">
        <v>1</v>
      </c>
      <c r="Q117">
        <v>1</v>
      </c>
      <c r="R117">
        <v>1</v>
      </c>
      <c r="S117">
        <v>5</v>
      </c>
      <c r="T117">
        <v>0</v>
      </c>
      <c r="U117">
        <v>0</v>
      </c>
      <c r="V117">
        <v>1.97</v>
      </c>
    </row>
    <row r="118" spans="1:22">
      <c r="A118" s="1" t="s">
        <v>164</v>
      </c>
      <c r="B118" s="1" t="s">
        <v>45</v>
      </c>
      <c r="C118" s="2">
        <v>46273</v>
      </c>
      <c r="D118" s="3">
        <v>0.45833333333333331</v>
      </c>
      <c r="E118">
        <v>111</v>
      </c>
      <c r="F118">
        <v>112</v>
      </c>
      <c r="G118">
        <v>7</v>
      </c>
      <c r="H118" s="1" t="s">
        <v>46</v>
      </c>
      <c r="I118">
        <v>18.5</v>
      </c>
      <c r="J118">
        <v>22</v>
      </c>
      <c r="K118" s="1" t="s">
        <v>47</v>
      </c>
      <c r="L118" s="1" t="s">
        <v>26</v>
      </c>
      <c r="M118">
        <v>0</v>
      </c>
      <c r="N118">
        <v>0</v>
      </c>
      <c r="O118" s="1" t="s">
        <v>27</v>
      </c>
      <c r="P118">
        <v>1</v>
      </c>
      <c r="Q118">
        <v>1</v>
      </c>
      <c r="R118">
        <v>5</v>
      </c>
      <c r="S118">
        <v>11</v>
      </c>
      <c r="T118">
        <v>0</v>
      </c>
      <c r="U118">
        <v>0</v>
      </c>
      <c r="V118">
        <v>6</v>
      </c>
    </row>
    <row r="119" spans="1:22">
      <c r="A119" s="1" t="s">
        <v>165</v>
      </c>
      <c r="B119" s="1" t="s">
        <v>34</v>
      </c>
      <c r="C119" s="2">
        <v>46273</v>
      </c>
      <c r="D119" s="3">
        <v>0.79166666666666663</v>
      </c>
      <c r="E119">
        <v>122</v>
      </c>
      <c r="F119">
        <v>124</v>
      </c>
      <c r="G119">
        <v>7</v>
      </c>
      <c r="H119" s="1" t="s">
        <v>35</v>
      </c>
      <c r="I119">
        <v>12.2</v>
      </c>
      <c r="J119">
        <v>18</v>
      </c>
      <c r="K119" s="1" t="s">
        <v>36</v>
      </c>
      <c r="L119" s="1" t="s">
        <v>26</v>
      </c>
      <c r="M119">
        <v>0</v>
      </c>
      <c r="N119">
        <v>0</v>
      </c>
      <c r="O119" s="1" t="s">
        <v>27</v>
      </c>
      <c r="P119">
        <v>1</v>
      </c>
      <c r="Q119">
        <v>1</v>
      </c>
      <c r="R119">
        <v>2</v>
      </c>
      <c r="S119">
        <v>19</v>
      </c>
      <c r="T119">
        <v>1</v>
      </c>
      <c r="U119">
        <v>0</v>
      </c>
      <c r="V119">
        <v>10</v>
      </c>
    </row>
    <row r="120" spans="1:22">
      <c r="A120" s="1" t="s">
        <v>166</v>
      </c>
      <c r="B120" s="1" t="s">
        <v>23</v>
      </c>
      <c r="C120" s="2">
        <v>46284</v>
      </c>
      <c r="D120" s="3">
        <v>0.67708333333333337</v>
      </c>
      <c r="E120">
        <v>103</v>
      </c>
      <c r="F120">
        <v>108</v>
      </c>
      <c r="G120">
        <v>4</v>
      </c>
      <c r="H120" s="1" t="s">
        <v>24</v>
      </c>
      <c r="I120">
        <v>15</v>
      </c>
      <c r="J120">
        <v>16</v>
      </c>
      <c r="K120" s="1" t="s">
        <v>25</v>
      </c>
      <c r="L120" s="1" t="s">
        <v>32</v>
      </c>
      <c r="M120">
        <v>1</v>
      </c>
      <c r="N120">
        <v>1</v>
      </c>
      <c r="O120" s="1" t="s">
        <v>27</v>
      </c>
      <c r="P120">
        <v>1</v>
      </c>
      <c r="Q120">
        <v>1</v>
      </c>
      <c r="R120">
        <v>12</v>
      </c>
      <c r="S120">
        <v>16</v>
      </c>
      <c r="T120">
        <v>0</v>
      </c>
      <c r="U120">
        <v>0</v>
      </c>
      <c r="V120">
        <v>6.87</v>
      </c>
    </row>
    <row r="121" spans="1:22">
      <c r="A121" s="1" t="s">
        <v>167</v>
      </c>
      <c r="B121" s="1" t="s">
        <v>34</v>
      </c>
      <c r="C121" s="2">
        <v>46272</v>
      </c>
      <c r="D121" s="3">
        <v>0.47916666666666669</v>
      </c>
      <c r="E121">
        <v>94</v>
      </c>
      <c r="F121">
        <v>97</v>
      </c>
      <c r="G121">
        <v>4</v>
      </c>
      <c r="H121" s="1" t="s">
        <v>35</v>
      </c>
      <c r="I121">
        <v>12.2</v>
      </c>
      <c r="J121">
        <v>18</v>
      </c>
      <c r="K121" s="1" t="s">
        <v>36</v>
      </c>
      <c r="L121" s="1" t="s">
        <v>65</v>
      </c>
      <c r="M121">
        <v>0</v>
      </c>
      <c r="N121">
        <v>0</v>
      </c>
      <c r="O121" s="1" t="s">
        <v>27</v>
      </c>
      <c r="P121">
        <v>1</v>
      </c>
      <c r="Q121">
        <v>1</v>
      </c>
      <c r="R121">
        <v>0</v>
      </c>
      <c r="S121">
        <v>11</v>
      </c>
      <c r="T121">
        <v>0</v>
      </c>
      <c r="U121">
        <v>0</v>
      </c>
      <c r="V121">
        <v>7.7</v>
      </c>
    </row>
    <row r="122" spans="1:22">
      <c r="A122" s="1" t="s">
        <v>168</v>
      </c>
      <c r="B122" s="1" t="s">
        <v>45</v>
      </c>
      <c r="C122" s="2">
        <v>46284</v>
      </c>
      <c r="D122" s="3">
        <v>0.20833333333333334</v>
      </c>
      <c r="E122">
        <v>96</v>
      </c>
      <c r="F122">
        <v>108</v>
      </c>
      <c r="G122">
        <v>6</v>
      </c>
      <c r="H122" s="1" t="s">
        <v>46</v>
      </c>
      <c r="I122">
        <v>18.5</v>
      </c>
      <c r="J122">
        <v>22</v>
      </c>
      <c r="K122" s="1" t="s">
        <v>47</v>
      </c>
      <c r="L122" s="1" t="s">
        <v>32</v>
      </c>
      <c r="M122">
        <v>1</v>
      </c>
      <c r="N122">
        <v>1</v>
      </c>
      <c r="O122" s="1" t="s">
        <v>27</v>
      </c>
      <c r="P122">
        <v>1</v>
      </c>
      <c r="Q122">
        <v>1</v>
      </c>
      <c r="R122">
        <v>0</v>
      </c>
      <c r="S122">
        <v>5</v>
      </c>
      <c r="T122">
        <v>0</v>
      </c>
      <c r="U122">
        <v>0</v>
      </c>
      <c r="V122">
        <v>5.19</v>
      </c>
    </row>
    <row r="123" spans="1:22">
      <c r="A123" s="1" t="s">
        <v>169</v>
      </c>
      <c r="B123" s="1" t="s">
        <v>45</v>
      </c>
      <c r="C123" s="2">
        <v>46271</v>
      </c>
      <c r="D123" s="3">
        <v>0.89583333333333337</v>
      </c>
      <c r="E123">
        <v>65</v>
      </c>
      <c r="F123">
        <v>61</v>
      </c>
      <c r="G123">
        <v>4</v>
      </c>
      <c r="H123" s="1" t="s">
        <v>46</v>
      </c>
      <c r="I123">
        <v>18.5</v>
      </c>
      <c r="J123">
        <v>22</v>
      </c>
      <c r="K123" s="1" t="s">
        <v>47</v>
      </c>
      <c r="L123" s="1" t="s">
        <v>38</v>
      </c>
      <c r="M123">
        <v>1</v>
      </c>
      <c r="N123">
        <v>0</v>
      </c>
      <c r="O123" s="1" t="s">
        <v>27</v>
      </c>
      <c r="P123">
        <v>1</v>
      </c>
      <c r="Q123">
        <v>1</v>
      </c>
      <c r="R123">
        <v>4</v>
      </c>
      <c r="S123">
        <v>21</v>
      </c>
      <c r="T123">
        <v>0</v>
      </c>
      <c r="U123">
        <v>0</v>
      </c>
      <c r="V123">
        <v>3.51</v>
      </c>
    </row>
    <row r="124" spans="1:22">
      <c r="A124" s="1" t="s">
        <v>170</v>
      </c>
      <c r="B124" s="1" t="s">
        <v>23</v>
      </c>
      <c r="C124" s="2">
        <v>46271</v>
      </c>
      <c r="D124" s="3">
        <v>0.67708333333333337</v>
      </c>
      <c r="E124">
        <v>50</v>
      </c>
      <c r="F124">
        <v>43</v>
      </c>
      <c r="G124">
        <v>3</v>
      </c>
      <c r="H124" s="1" t="s">
        <v>24</v>
      </c>
      <c r="I124">
        <v>15</v>
      </c>
      <c r="J124">
        <v>16</v>
      </c>
      <c r="K124" s="1" t="s">
        <v>25</v>
      </c>
      <c r="L124" s="1" t="s">
        <v>38</v>
      </c>
      <c r="M124">
        <v>1</v>
      </c>
      <c r="N124">
        <v>0</v>
      </c>
      <c r="O124" s="1" t="s">
        <v>27</v>
      </c>
      <c r="P124">
        <v>1</v>
      </c>
      <c r="Q124">
        <v>1</v>
      </c>
      <c r="R124">
        <v>1</v>
      </c>
      <c r="S124">
        <v>16</v>
      </c>
      <c r="T124">
        <v>0</v>
      </c>
      <c r="U124">
        <v>0</v>
      </c>
      <c r="V124">
        <v>3.33</v>
      </c>
    </row>
    <row r="125" spans="1:22">
      <c r="A125" s="1" t="s">
        <v>171</v>
      </c>
      <c r="B125" s="1" t="s">
        <v>45</v>
      </c>
      <c r="C125" s="2">
        <v>46268</v>
      </c>
      <c r="D125" s="3">
        <v>0.64583333333333337</v>
      </c>
      <c r="E125">
        <v>46</v>
      </c>
      <c r="F125">
        <v>49</v>
      </c>
      <c r="G125">
        <v>3</v>
      </c>
      <c r="H125" s="1" t="s">
        <v>46</v>
      </c>
      <c r="I125">
        <v>18.5</v>
      </c>
      <c r="J125">
        <v>22</v>
      </c>
      <c r="K125" s="1" t="s">
        <v>47</v>
      </c>
      <c r="L125" s="1" t="s">
        <v>56</v>
      </c>
      <c r="M125">
        <v>0</v>
      </c>
      <c r="N125">
        <v>0</v>
      </c>
      <c r="O125" s="1" t="s">
        <v>27</v>
      </c>
      <c r="P125">
        <v>1</v>
      </c>
      <c r="Q125">
        <v>1</v>
      </c>
      <c r="R125">
        <v>4</v>
      </c>
      <c r="S125">
        <v>15</v>
      </c>
      <c r="T125">
        <v>0</v>
      </c>
      <c r="U125">
        <v>0</v>
      </c>
      <c r="V125">
        <v>2.4900000000000002</v>
      </c>
    </row>
    <row r="126" spans="1:22">
      <c r="A126" s="1" t="s">
        <v>172</v>
      </c>
      <c r="B126" s="1" t="s">
        <v>45</v>
      </c>
      <c r="C126" s="2">
        <v>46272</v>
      </c>
      <c r="D126" s="3">
        <v>0.51041666666666663</v>
      </c>
      <c r="E126">
        <v>96</v>
      </c>
      <c r="F126">
        <v>89</v>
      </c>
      <c r="G126">
        <v>3</v>
      </c>
      <c r="H126" s="1" t="s">
        <v>46</v>
      </c>
      <c r="I126">
        <v>18.5</v>
      </c>
      <c r="J126">
        <v>22</v>
      </c>
      <c r="K126" s="1" t="s">
        <v>47</v>
      </c>
      <c r="L126" s="1" t="s">
        <v>65</v>
      </c>
      <c r="M126">
        <v>0</v>
      </c>
      <c r="N126">
        <v>0</v>
      </c>
      <c r="O126" s="1" t="s">
        <v>27</v>
      </c>
      <c r="P126">
        <v>1</v>
      </c>
      <c r="Q126">
        <v>1</v>
      </c>
      <c r="R126">
        <v>3</v>
      </c>
      <c r="S126">
        <v>12</v>
      </c>
      <c r="T126">
        <v>0</v>
      </c>
      <c r="U126">
        <v>0</v>
      </c>
      <c r="V126">
        <v>5.19</v>
      </c>
    </row>
    <row r="127" spans="1:22">
      <c r="A127" s="1" t="s">
        <v>173</v>
      </c>
      <c r="B127" s="1" t="s">
        <v>29</v>
      </c>
      <c r="C127" s="2">
        <v>46284</v>
      </c>
      <c r="D127" s="3">
        <v>0.76041666666666663</v>
      </c>
      <c r="E127">
        <v>45</v>
      </c>
      <c r="F127">
        <v>52</v>
      </c>
      <c r="G127">
        <v>3</v>
      </c>
      <c r="H127" s="1" t="s">
        <v>30</v>
      </c>
      <c r="I127">
        <v>32</v>
      </c>
      <c r="J127">
        <v>14</v>
      </c>
      <c r="K127" s="1" t="s">
        <v>31</v>
      </c>
      <c r="L127" s="1" t="s">
        <v>32</v>
      </c>
      <c r="M127">
        <v>1</v>
      </c>
      <c r="N127">
        <v>1</v>
      </c>
      <c r="O127" s="1" t="s">
        <v>27</v>
      </c>
      <c r="P127">
        <v>1</v>
      </c>
      <c r="Q127">
        <v>1</v>
      </c>
      <c r="R127">
        <v>1</v>
      </c>
      <c r="S127">
        <v>18</v>
      </c>
      <c r="T127">
        <v>1</v>
      </c>
      <c r="U127">
        <v>0</v>
      </c>
      <c r="V127">
        <v>1.41</v>
      </c>
    </row>
    <row r="128" spans="1:22">
      <c r="A128" s="1" t="s">
        <v>174</v>
      </c>
      <c r="B128" s="1" t="s">
        <v>23</v>
      </c>
      <c r="C128" s="2">
        <v>46273</v>
      </c>
      <c r="D128" s="3">
        <v>0.26041666666666669</v>
      </c>
      <c r="E128">
        <v>189</v>
      </c>
      <c r="F128">
        <v>181</v>
      </c>
      <c r="G128">
        <v>7</v>
      </c>
      <c r="H128" s="1" t="s">
        <v>24</v>
      </c>
      <c r="I128">
        <v>15</v>
      </c>
      <c r="J128">
        <v>16</v>
      </c>
      <c r="K128" s="1" t="s">
        <v>25</v>
      </c>
      <c r="L128" s="1" t="s">
        <v>26</v>
      </c>
      <c r="M128">
        <v>0</v>
      </c>
      <c r="N128">
        <v>0</v>
      </c>
      <c r="O128" s="1" t="s">
        <v>27</v>
      </c>
      <c r="P128">
        <v>1</v>
      </c>
      <c r="Q128">
        <v>1</v>
      </c>
      <c r="R128">
        <v>1</v>
      </c>
      <c r="S128">
        <v>6</v>
      </c>
      <c r="T128">
        <v>0</v>
      </c>
      <c r="U128">
        <v>0</v>
      </c>
      <c r="V128">
        <v>12.6</v>
      </c>
    </row>
    <row r="129" spans="1:22">
      <c r="A129" s="1" t="s">
        <v>175</v>
      </c>
      <c r="B129" s="1" t="s">
        <v>29</v>
      </c>
      <c r="C129" s="2">
        <v>46275</v>
      </c>
      <c r="D129" s="3">
        <v>0.5625</v>
      </c>
      <c r="E129">
        <v>166</v>
      </c>
      <c r="F129">
        <v>154</v>
      </c>
      <c r="G129">
        <v>7</v>
      </c>
      <c r="H129" s="1" t="s">
        <v>30</v>
      </c>
      <c r="I129">
        <v>32</v>
      </c>
      <c r="J129">
        <v>14</v>
      </c>
      <c r="K129" s="1" t="s">
        <v>31</v>
      </c>
      <c r="L129" s="1" t="s">
        <v>56</v>
      </c>
      <c r="M129">
        <v>0</v>
      </c>
      <c r="N129">
        <v>0</v>
      </c>
      <c r="O129" s="1" t="s">
        <v>27</v>
      </c>
      <c r="P129">
        <v>1</v>
      </c>
      <c r="Q129">
        <v>1</v>
      </c>
      <c r="R129">
        <v>1</v>
      </c>
      <c r="S129">
        <v>13</v>
      </c>
      <c r="T129">
        <v>0</v>
      </c>
      <c r="U129">
        <v>0</v>
      </c>
      <c r="V129">
        <v>5.19</v>
      </c>
    </row>
    <row r="130" spans="1:22">
      <c r="A130" s="1" t="s">
        <v>176</v>
      </c>
      <c r="B130" s="1" t="s">
        <v>29</v>
      </c>
      <c r="C130" s="2">
        <v>46285</v>
      </c>
      <c r="D130" s="3">
        <v>0.53125</v>
      </c>
      <c r="E130">
        <v>160</v>
      </c>
      <c r="F130">
        <v>156</v>
      </c>
      <c r="G130">
        <v>7</v>
      </c>
      <c r="H130" s="1" t="s">
        <v>30</v>
      </c>
      <c r="I130">
        <v>32</v>
      </c>
      <c r="J130">
        <v>14</v>
      </c>
      <c r="K130" s="1" t="s">
        <v>31</v>
      </c>
      <c r="L130" s="1" t="s">
        <v>38</v>
      </c>
      <c r="M130">
        <v>1</v>
      </c>
      <c r="N130">
        <v>0</v>
      </c>
      <c r="O130" s="1" t="s">
        <v>52</v>
      </c>
      <c r="P130">
        <v>1</v>
      </c>
      <c r="Q130">
        <v>1</v>
      </c>
      <c r="R130">
        <v>0</v>
      </c>
      <c r="S130">
        <v>12</v>
      </c>
      <c r="T130">
        <v>0</v>
      </c>
      <c r="U130">
        <v>1</v>
      </c>
      <c r="V130">
        <v>5</v>
      </c>
    </row>
    <row r="131" spans="1:22">
      <c r="A131" s="1" t="s">
        <v>177</v>
      </c>
      <c r="B131" s="1" t="s">
        <v>45</v>
      </c>
      <c r="C131" s="2">
        <v>46280</v>
      </c>
      <c r="D131" s="3">
        <v>0.26041666666666669</v>
      </c>
      <c r="E131">
        <v>128</v>
      </c>
      <c r="F131">
        <v>130</v>
      </c>
      <c r="G131">
        <v>3</v>
      </c>
      <c r="H131" s="1" t="s">
        <v>46</v>
      </c>
      <c r="I131">
        <v>18.5</v>
      </c>
      <c r="J131">
        <v>22</v>
      </c>
      <c r="K131" s="1" t="s">
        <v>47</v>
      </c>
      <c r="L131" s="1" t="s">
        <v>26</v>
      </c>
      <c r="M131">
        <v>0</v>
      </c>
      <c r="N131">
        <v>0</v>
      </c>
      <c r="O131" s="1" t="s">
        <v>27</v>
      </c>
      <c r="P131">
        <v>1</v>
      </c>
      <c r="Q131">
        <v>1</v>
      </c>
      <c r="R131">
        <v>5</v>
      </c>
      <c r="S131">
        <v>6</v>
      </c>
      <c r="T131">
        <v>0</v>
      </c>
      <c r="U131">
        <v>0</v>
      </c>
      <c r="V131">
        <v>6.92</v>
      </c>
    </row>
    <row r="132" spans="1:22">
      <c r="A132" s="1" t="s">
        <v>178</v>
      </c>
      <c r="B132" s="1" t="s">
        <v>29</v>
      </c>
      <c r="C132" s="2">
        <v>46280</v>
      </c>
      <c r="D132" s="3">
        <v>0.66666666666666663</v>
      </c>
      <c r="E132">
        <v>143</v>
      </c>
      <c r="F132">
        <v>142</v>
      </c>
      <c r="G132">
        <v>6</v>
      </c>
      <c r="H132" s="1" t="s">
        <v>30</v>
      </c>
      <c r="I132">
        <v>32</v>
      </c>
      <c r="J132">
        <v>14</v>
      </c>
      <c r="K132" s="1" t="s">
        <v>31</v>
      </c>
      <c r="L132" s="1" t="s">
        <v>26</v>
      </c>
      <c r="M132">
        <v>0</v>
      </c>
      <c r="N132">
        <v>0</v>
      </c>
      <c r="O132" s="1" t="s">
        <v>27</v>
      </c>
      <c r="P132">
        <v>1</v>
      </c>
      <c r="Q132">
        <v>1</v>
      </c>
      <c r="R132">
        <v>3</v>
      </c>
      <c r="S132">
        <v>16</v>
      </c>
      <c r="T132">
        <v>0</v>
      </c>
      <c r="U132">
        <v>0</v>
      </c>
      <c r="V132">
        <v>4.47</v>
      </c>
    </row>
    <row r="133" spans="1:22">
      <c r="A133" s="1" t="s">
        <v>179</v>
      </c>
      <c r="B133" s="1" t="s">
        <v>29</v>
      </c>
      <c r="C133" s="2">
        <v>46294</v>
      </c>
      <c r="D133" s="3">
        <v>0.28125</v>
      </c>
      <c r="E133">
        <v>212</v>
      </c>
      <c r="F133">
        <v>204</v>
      </c>
      <c r="G133">
        <v>7</v>
      </c>
      <c r="H133" s="1" t="s">
        <v>30</v>
      </c>
      <c r="I133">
        <v>32</v>
      </c>
      <c r="J133">
        <v>14</v>
      </c>
      <c r="K133" s="1" t="s">
        <v>31</v>
      </c>
      <c r="L133" s="1" t="s">
        <v>26</v>
      </c>
      <c r="M133">
        <v>0</v>
      </c>
      <c r="N133">
        <v>0</v>
      </c>
      <c r="O133" s="1" t="s">
        <v>27</v>
      </c>
      <c r="P133">
        <v>1</v>
      </c>
      <c r="Q133">
        <v>1</v>
      </c>
      <c r="R133">
        <v>11</v>
      </c>
      <c r="S133">
        <v>6</v>
      </c>
      <c r="T133">
        <v>0</v>
      </c>
      <c r="U133">
        <v>0</v>
      </c>
      <c r="V133">
        <v>6.62</v>
      </c>
    </row>
    <row r="134" spans="1:22">
      <c r="A134" s="1" t="s">
        <v>180</v>
      </c>
      <c r="B134" s="1" t="s">
        <v>45</v>
      </c>
      <c r="C134" s="2">
        <v>46266</v>
      </c>
      <c r="D134" s="3">
        <v>0.39583333333333331</v>
      </c>
      <c r="E134">
        <v>178</v>
      </c>
      <c r="F134">
        <v>165</v>
      </c>
      <c r="G134">
        <v>6</v>
      </c>
      <c r="H134" s="1" t="s">
        <v>46</v>
      </c>
      <c r="I134">
        <v>18.5</v>
      </c>
      <c r="J134">
        <v>22</v>
      </c>
      <c r="K134" s="1" t="s">
        <v>47</v>
      </c>
      <c r="L134" s="1" t="s">
        <v>26</v>
      </c>
      <c r="M134">
        <v>0</v>
      </c>
      <c r="N134">
        <v>0</v>
      </c>
      <c r="O134" s="1" t="s">
        <v>27</v>
      </c>
      <c r="P134">
        <v>1</v>
      </c>
      <c r="Q134">
        <v>1</v>
      </c>
      <c r="R134">
        <v>0</v>
      </c>
      <c r="S134">
        <v>9</v>
      </c>
      <c r="T134">
        <v>1</v>
      </c>
      <c r="U134">
        <v>0</v>
      </c>
      <c r="V134">
        <v>9.6199999999999992</v>
      </c>
    </row>
    <row r="135" spans="1:22">
      <c r="A135" s="1" t="s">
        <v>181</v>
      </c>
      <c r="B135" s="1" t="s">
        <v>29</v>
      </c>
      <c r="C135" s="2">
        <v>46285</v>
      </c>
      <c r="D135" s="3">
        <v>0.69791666666666663</v>
      </c>
      <c r="E135">
        <v>111</v>
      </c>
      <c r="F135">
        <v>94</v>
      </c>
      <c r="G135">
        <v>5</v>
      </c>
      <c r="H135" s="1" t="s">
        <v>30</v>
      </c>
      <c r="I135">
        <v>32</v>
      </c>
      <c r="J135">
        <v>14</v>
      </c>
      <c r="K135" s="1" t="s">
        <v>31</v>
      </c>
      <c r="L135" s="1" t="s">
        <v>38</v>
      </c>
      <c r="M135">
        <v>1</v>
      </c>
      <c r="N135">
        <v>0</v>
      </c>
      <c r="O135" s="1" t="s">
        <v>52</v>
      </c>
      <c r="P135">
        <v>1</v>
      </c>
      <c r="Q135">
        <v>1</v>
      </c>
      <c r="R135">
        <v>4</v>
      </c>
      <c r="S135">
        <v>16</v>
      </c>
      <c r="T135">
        <v>0</v>
      </c>
      <c r="U135">
        <v>1</v>
      </c>
      <c r="V135">
        <v>3.47</v>
      </c>
    </row>
    <row r="136" spans="1:22">
      <c r="A136" s="1" t="s">
        <v>182</v>
      </c>
      <c r="B136" s="1" t="s">
        <v>34</v>
      </c>
      <c r="C136" s="2">
        <v>46295</v>
      </c>
      <c r="D136" s="3">
        <v>0.8125</v>
      </c>
      <c r="E136">
        <v>100</v>
      </c>
      <c r="F136">
        <v>93</v>
      </c>
      <c r="G136">
        <v>4</v>
      </c>
      <c r="H136" s="1" t="s">
        <v>35</v>
      </c>
      <c r="I136">
        <v>12.2</v>
      </c>
      <c r="J136">
        <v>18</v>
      </c>
      <c r="K136" s="1" t="s">
        <v>36</v>
      </c>
      <c r="L136" s="1" t="s">
        <v>69</v>
      </c>
      <c r="M136">
        <v>0</v>
      </c>
      <c r="N136">
        <v>0</v>
      </c>
      <c r="O136" s="1" t="s">
        <v>27</v>
      </c>
      <c r="P136">
        <v>1</v>
      </c>
      <c r="Q136">
        <v>1</v>
      </c>
      <c r="R136">
        <v>0</v>
      </c>
      <c r="S136">
        <v>19</v>
      </c>
      <c r="T136">
        <v>1</v>
      </c>
      <c r="U136">
        <v>0</v>
      </c>
      <c r="V136">
        <v>8.1999999999999993</v>
      </c>
    </row>
    <row r="137" spans="1:22">
      <c r="A137" s="1" t="s">
        <v>183</v>
      </c>
      <c r="B137" s="1" t="s">
        <v>45</v>
      </c>
      <c r="C137" s="2">
        <v>46272</v>
      </c>
      <c r="D137" s="3">
        <v>0.85416666666666663</v>
      </c>
      <c r="E137">
        <v>192</v>
      </c>
      <c r="F137">
        <v>204</v>
      </c>
      <c r="G137">
        <v>6</v>
      </c>
      <c r="H137" s="1" t="s">
        <v>46</v>
      </c>
      <c r="I137">
        <v>18.5</v>
      </c>
      <c r="J137">
        <v>22</v>
      </c>
      <c r="K137" s="1" t="s">
        <v>47</v>
      </c>
      <c r="L137" s="1" t="s">
        <v>65</v>
      </c>
      <c r="M137">
        <v>0</v>
      </c>
      <c r="N137">
        <v>0</v>
      </c>
      <c r="O137" s="1" t="s">
        <v>27</v>
      </c>
      <c r="P137">
        <v>1</v>
      </c>
      <c r="Q137">
        <v>1</v>
      </c>
      <c r="R137">
        <v>4</v>
      </c>
      <c r="S137">
        <v>20</v>
      </c>
      <c r="T137">
        <v>0</v>
      </c>
      <c r="U137">
        <v>0</v>
      </c>
      <c r="V137">
        <v>10.38</v>
      </c>
    </row>
    <row r="138" spans="1:22">
      <c r="A138" s="1" t="s">
        <v>184</v>
      </c>
      <c r="B138" s="1" t="s">
        <v>23</v>
      </c>
      <c r="C138" s="2">
        <v>46292</v>
      </c>
      <c r="D138" s="3">
        <v>0.42708333333333331</v>
      </c>
      <c r="E138">
        <v>58</v>
      </c>
      <c r="F138">
        <v>61</v>
      </c>
      <c r="G138">
        <v>3</v>
      </c>
      <c r="H138" s="1" t="s">
        <v>24</v>
      </c>
      <c r="I138">
        <v>15</v>
      </c>
      <c r="J138">
        <v>16</v>
      </c>
      <c r="K138" s="1" t="s">
        <v>25</v>
      </c>
      <c r="L138" s="1" t="s">
        <v>38</v>
      </c>
      <c r="M138">
        <v>1</v>
      </c>
      <c r="N138">
        <v>0</v>
      </c>
      <c r="O138" s="1" t="s">
        <v>134</v>
      </c>
      <c r="P138">
        <v>1</v>
      </c>
      <c r="Q138">
        <v>1</v>
      </c>
      <c r="R138">
        <v>1</v>
      </c>
      <c r="S138">
        <v>10</v>
      </c>
      <c r="T138">
        <v>1</v>
      </c>
      <c r="U138">
        <v>1</v>
      </c>
      <c r="V138">
        <v>3.87</v>
      </c>
    </row>
    <row r="139" spans="1:22">
      <c r="A139" s="1" t="s">
        <v>185</v>
      </c>
      <c r="B139" s="1" t="s">
        <v>45</v>
      </c>
      <c r="C139" s="2">
        <v>46269</v>
      </c>
      <c r="D139" s="3">
        <v>0.94791666666666663</v>
      </c>
      <c r="E139">
        <v>38</v>
      </c>
      <c r="F139">
        <v>34</v>
      </c>
      <c r="G139">
        <v>3</v>
      </c>
      <c r="H139" s="1" t="s">
        <v>46</v>
      </c>
      <c r="I139">
        <v>18.5</v>
      </c>
      <c r="J139">
        <v>22</v>
      </c>
      <c r="K139" s="1" t="s">
        <v>47</v>
      </c>
      <c r="L139" s="1" t="s">
        <v>49</v>
      </c>
      <c r="M139">
        <v>0</v>
      </c>
      <c r="N139">
        <v>0</v>
      </c>
      <c r="O139" s="1" t="s">
        <v>27</v>
      </c>
      <c r="P139">
        <v>1</v>
      </c>
      <c r="Q139">
        <v>1</v>
      </c>
      <c r="R139">
        <v>1</v>
      </c>
      <c r="S139">
        <v>22</v>
      </c>
      <c r="T139">
        <v>0</v>
      </c>
      <c r="U139">
        <v>0</v>
      </c>
      <c r="V139">
        <v>2.0499999999999998</v>
      </c>
    </row>
    <row r="140" spans="1:22">
      <c r="A140" s="1" t="s">
        <v>186</v>
      </c>
      <c r="B140" s="1" t="s">
        <v>45</v>
      </c>
      <c r="C140" s="2">
        <v>46294</v>
      </c>
      <c r="D140" s="3">
        <v>0.625</v>
      </c>
      <c r="E140">
        <v>90</v>
      </c>
      <c r="F140">
        <v>93</v>
      </c>
      <c r="G140">
        <v>6</v>
      </c>
      <c r="H140" s="1" t="s">
        <v>46</v>
      </c>
      <c r="I140">
        <v>18.5</v>
      </c>
      <c r="J140">
        <v>22</v>
      </c>
      <c r="K140" s="1" t="s">
        <v>47</v>
      </c>
      <c r="L140" s="1" t="s">
        <v>26</v>
      </c>
      <c r="M140">
        <v>0</v>
      </c>
      <c r="N140">
        <v>0</v>
      </c>
      <c r="O140" s="1" t="s">
        <v>27</v>
      </c>
      <c r="P140">
        <v>1</v>
      </c>
      <c r="Q140">
        <v>1</v>
      </c>
      <c r="R140">
        <v>8</v>
      </c>
      <c r="S140">
        <v>15</v>
      </c>
      <c r="T140">
        <v>0</v>
      </c>
      <c r="U140">
        <v>0</v>
      </c>
      <c r="V140">
        <v>4.8600000000000003</v>
      </c>
    </row>
    <row r="141" spans="1:22">
      <c r="A141" s="1" t="s">
        <v>187</v>
      </c>
      <c r="B141" s="1" t="s">
        <v>29</v>
      </c>
      <c r="C141" s="2">
        <v>46271</v>
      </c>
      <c r="D141" s="3">
        <v>0.64583333333333337</v>
      </c>
      <c r="E141">
        <v>137</v>
      </c>
      <c r="F141">
        <v>136</v>
      </c>
      <c r="G141">
        <v>6</v>
      </c>
      <c r="H141" s="1" t="s">
        <v>30</v>
      </c>
      <c r="I141">
        <v>32</v>
      </c>
      <c r="J141">
        <v>14</v>
      </c>
      <c r="K141" s="1" t="s">
        <v>31</v>
      </c>
      <c r="L141" s="1" t="s">
        <v>38</v>
      </c>
      <c r="M141">
        <v>1</v>
      </c>
      <c r="N141">
        <v>0</v>
      </c>
      <c r="O141" s="1" t="s">
        <v>27</v>
      </c>
      <c r="P141">
        <v>1</v>
      </c>
      <c r="Q141">
        <v>1</v>
      </c>
      <c r="R141">
        <v>7</v>
      </c>
      <c r="S141">
        <v>15</v>
      </c>
      <c r="T141">
        <v>0</v>
      </c>
      <c r="U141">
        <v>0</v>
      </c>
      <c r="V141">
        <v>4.28</v>
      </c>
    </row>
    <row r="142" spans="1:22">
      <c r="A142" s="1" t="s">
        <v>188</v>
      </c>
      <c r="B142" s="1" t="s">
        <v>23</v>
      </c>
      <c r="C142" s="2">
        <v>46290</v>
      </c>
      <c r="D142" s="3">
        <v>0.85416666666666663</v>
      </c>
      <c r="E142">
        <v>157</v>
      </c>
      <c r="F142">
        <v>158</v>
      </c>
      <c r="G142">
        <v>7</v>
      </c>
      <c r="H142" s="1" t="s">
        <v>24</v>
      </c>
      <c r="I142">
        <v>15</v>
      </c>
      <c r="J142">
        <v>16</v>
      </c>
      <c r="K142" s="1" t="s">
        <v>25</v>
      </c>
      <c r="L142" s="1" t="s">
        <v>49</v>
      </c>
      <c r="M142">
        <v>0</v>
      </c>
      <c r="N142">
        <v>0</v>
      </c>
      <c r="O142" s="1" t="s">
        <v>27</v>
      </c>
      <c r="P142">
        <v>1</v>
      </c>
      <c r="Q142">
        <v>1</v>
      </c>
      <c r="R142">
        <v>12</v>
      </c>
      <c r="S142">
        <v>20</v>
      </c>
      <c r="T142">
        <v>0</v>
      </c>
      <c r="U142">
        <v>0</v>
      </c>
      <c r="V142">
        <v>10.47</v>
      </c>
    </row>
    <row r="143" spans="1:22">
      <c r="A143" s="1" t="s">
        <v>189</v>
      </c>
      <c r="B143" s="1" t="s">
        <v>45</v>
      </c>
      <c r="C143" s="2">
        <v>46266</v>
      </c>
      <c r="D143" s="3">
        <v>0.79166666666666663</v>
      </c>
      <c r="E143">
        <v>71</v>
      </c>
      <c r="F143">
        <v>72</v>
      </c>
      <c r="G143">
        <v>6</v>
      </c>
      <c r="H143" s="1" t="s">
        <v>46</v>
      </c>
      <c r="I143">
        <v>18.5</v>
      </c>
      <c r="J143">
        <v>22</v>
      </c>
      <c r="K143" s="1" t="s">
        <v>47</v>
      </c>
      <c r="L143" s="1" t="s">
        <v>26</v>
      </c>
      <c r="M143">
        <v>0</v>
      </c>
      <c r="N143">
        <v>0</v>
      </c>
      <c r="O143" s="1" t="s">
        <v>27</v>
      </c>
      <c r="P143">
        <v>1</v>
      </c>
      <c r="Q143">
        <v>1</v>
      </c>
      <c r="R143">
        <v>3</v>
      </c>
      <c r="S143">
        <v>19</v>
      </c>
      <c r="T143">
        <v>1</v>
      </c>
      <c r="U143">
        <v>0</v>
      </c>
      <c r="V143">
        <v>3.84</v>
      </c>
    </row>
    <row r="144" spans="1:22">
      <c r="A144" s="1" t="s">
        <v>190</v>
      </c>
      <c r="B144" s="1" t="s">
        <v>29</v>
      </c>
      <c r="C144" s="2">
        <v>46294</v>
      </c>
      <c r="D144" s="3">
        <v>0.35416666666666669</v>
      </c>
      <c r="E144">
        <v>31</v>
      </c>
      <c r="F144">
        <v>25</v>
      </c>
      <c r="G144">
        <v>3</v>
      </c>
      <c r="H144" s="1" t="s">
        <v>30</v>
      </c>
      <c r="I144">
        <v>32</v>
      </c>
      <c r="J144">
        <v>14</v>
      </c>
      <c r="K144" s="1" t="s">
        <v>31</v>
      </c>
      <c r="L144" s="1" t="s">
        <v>26</v>
      </c>
      <c r="M144">
        <v>0</v>
      </c>
      <c r="N144">
        <v>0</v>
      </c>
      <c r="O144" s="1" t="s">
        <v>27</v>
      </c>
      <c r="P144">
        <v>1</v>
      </c>
      <c r="Q144">
        <v>1</v>
      </c>
      <c r="R144">
        <v>2</v>
      </c>
      <c r="S144">
        <v>8</v>
      </c>
      <c r="T144">
        <v>1</v>
      </c>
      <c r="U144">
        <v>0</v>
      </c>
      <c r="V144">
        <v>0.97</v>
      </c>
    </row>
    <row r="145" spans="1:22">
      <c r="A145" s="1" t="s">
        <v>191</v>
      </c>
      <c r="B145" s="1" t="s">
        <v>45</v>
      </c>
      <c r="C145" s="2">
        <v>46270</v>
      </c>
      <c r="D145" s="3">
        <v>0.82291666666666663</v>
      </c>
      <c r="E145">
        <v>58</v>
      </c>
      <c r="F145">
        <v>56</v>
      </c>
      <c r="G145">
        <v>4</v>
      </c>
      <c r="H145" s="1" t="s">
        <v>46</v>
      </c>
      <c r="I145">
        <v>18.5</v>
      </c>
      <c r="J145">
        <v>22</v>
      </c>
      <c r="K145" s="1" t="s">
        <v>47</v>
      </c>
      <c r="L145" s="1" t="s">
        <v>32</v>
      </c>
      <c r="M145">
        <v>1</v>
      </c>
      <c r="N145">
        <v>1</v>
      </c>
      <c r="O145" s="1" t="s">
        <v>27</v>
      </c>
      <c r="P145">
        <v>1</v>
      </c>
      <c r="Q145">
        <v>1</v>
      </c>
      <c r="R145">
        <v>7</v>
      </c>
      <c r="S145">
        <v>19</v>
      </c>
      <c r="T145">
        <v>1</v>
      </c>
      <c r="U145">
        <v>0</v>
      </c>
      <c r="V145">
        <v>3.14</v>
      </c>
    </row>
    <row r="146" spans="1:22">
      <c r="A146" s="1" t="s">
        <v>192</v>
      </c>
      <c r="B146" s="1" t="s">
        <v>45</v>
      </c>
      <c r="C146" s="2">
        <v>46292</v>
      </c>
      <c r="D146" s="3">
        <v>0.71875</v>
      </c>
      <c r="E146">
        <v>208</v>
      </c>
      <c r="F146">
        <v>204</v>
      </c>
      <c r="G146">
        <v>6</v>
      </c>
      <c r="H146" s="1" t="s">
        <v>46</v>
      </c>
      <c r="I146">
        <v>18.5</v>
      </c>
      <c r="J146">
        <v>22</v>
      </c>
      <c r="K146" s="1" t="s">
        <v>47</v>
      </c>
      <c r="L146" s="1" t="s">
        <v>38</v>
      </c>
      <c r="M146">
        <v>1</v>
      </c>
      <c r="N146">
        <v>0</v>
      </c>
      <c r="O146" s="1" t="s">
        <v>134</v>
      </c>
      <c r="P146">
        <v>1</v>
      </c>
      <c r="Q146">
        <v>1</v>
      </c>
      <c r="R146">
        <v>1</v>
      </c>
      <c r="S146">
        <v>17</v>
      </c>
      <c r="T146">
        <v>1</v>
      </c>
      <c r="U146">
        <v>1</v>
      </c>
      <c r="V146">
        <v>11.24</v>
      </c>
    </row>
    <row r="147" spans="1:22">
      <c r="A147" s="1" t="s">
        <v>193</v>
      </c>
      <c r="B147" s="1" t="s">
        <v>23</v>
      </c>
      <c r="C147" s="2">
        <v>46288</v>
      </c>
      <c r="D147" s="3">
        <v>0.26041666666666669</v>
      </c>
      <c r="E147">
        <v>71</v>
      </c>
      <c r="F147">
        <v>74</v>
      </c>
      <c r="G147">
        <v>3</v>
      </c>
      <c r="H147" s="1" t="s">
        <v>24</v>
      </c>
      <c r="I147">
        <v>15</v>
      </c>
      <c r="J147">
        <v>16</v>
      </c>
      <c r="K147" s="1" t="s">
        <v>25</v>
      </c>
      <c r="L147" s="1" t="s">
        <v>69</v>
      </c>
      <c r="M147">
        <v>0</v>
      </c>
      <c r="N147">
        <v>0</v>
      </c>
      <c r="O147" s="1" t="s">
        <v>27</v>
      </c>
      <c r="P147">
        <v>1</v>
      </c>
      <c r="Q147">
        <v>1</v>
      </c>
      <c r="R147">
        <v>2</v>
      </c>
      <c r="S147">
        <v>6</v>
      </c>
      <c r="T147">
        <v>0</v>
      </c>
      <c r="U147">
        <v>0</v>
      </c>
      <c r="V147">
        <v>4.7300000000000004</v>
      </c>
    </row>
    <row r="148" spans="1:22">
      <c r="A148" s="1" t="s">
        <v>194</v>
      </c>
      <c r="B148" s="1" t="s">
        <v>23</v>
      </c>
      <c r="C148" s="2">
        <v>46266</v>
      </c>
      <c r="D148" s="3">
        <v>0.36458333333333331</v>
      </c>
      <c r="E148">
        <v>73</v>
      </c>
      <c r="F148">
        <v>78</v>
      </c>
      <c r="G148">
        <v>3</v>
      </c>
      <c r="H148" s="1" t="s">
        <v>24</v>
      </c>
      <c r="I148">
        <v>15</v>
      </c>
      <c r="J148">
        <v>16</v>
      </c>
      <c r="K148" s="1" t="s">
        <v>25</v>
      </c>
      <c r="L148" s="1" t="s">
        <v>26</v>
      </c>
      <c r="M148">
        <v>0</v>
      </c>
      <c r="N148">
        <v>0</v>
      </c>
      <c r="O148" s="1" t="s">
        <v>27</v>
      </c>
      <c r="P148">
        <v>1</v>
      </c>
      <c r="Q148">
        <v>1</v>
      </c>
      <c r="R148">
        <v>10</v>
      </c>
      <c r="S148">
        <v>8</v>
      </c>
      <c r="T148">
        <v>1</v>
      </c>
      <c r="U148">
        <v>0</v>
      </c>
      <c r="V148">
        <v>4.87</v>
      </c>
    </row>
    <row r="149" spans="1:22">
      <c r="A149" s="1" t="s">
        <v>195</v>
      </c>
      <c r="B149" s="1" t="s">
        <v>59</v>
      </c>
      <c r="C149" s="2">
        <v>46295</v>
      </c>
      <c r="D149" s="3">
        <v>0.77083333333333337</v>
      </c>
      <c r="E149">
        <v>49</v>
      </c>
      <c r="F149">
        <v>43</v>
      </c>
      <c r="G149">
        <v>3</v>
      </c>
      <c r="H149" s="1" t="s">
        <v>60</v>
      </c>
      <c r="I149">
        <v>24.8</v>
      </c>
      <c r="J149">
        <v>28</v>
      </c>
      <c r="K149" s="1" t="s">
        <v>61</v>
      </c>
      <c r="L149" s="1" t="s">
        <v>69</v>
      </c>
      <c r="M149">
        <v>0</v>
      </c>
      <c r="N149">
        <v>0</v>
      </c>
      <c r="O149" s="1" t="s">
        <v>27</v>
      </c>
      <c r="P149">
        <v>1</v>
      </c>
      <c r="Q149">
        <v>1</v>
      </c>
      <c r="R149">
        <v>6</v>
      </c>
      <c r="S149">
        <v>18</v>
      </c>
      <c r="T149">
        <v>1</v>
      </c>
      <c r="U149">
        <v>0</v>
      </c>
      <c r="V149">
        <v>1.98</v>
      </c>
    </row>
    <row r="150" spans="1:22">
      <c r="A150" s="1" t="s">
        <v>196</v>
      </c>
      <c r="B150" s="1" t="s">
        <v>34</v>
      </c>
      <c r="C150" s="2">
        <v>46269</v>
      </c>
      <c r="D150" s="3">
        <v>0.82291666666666663</v>
      </c>
      <c r="E150">
        <v>70</v>
      </c>
      <c r="F150">
        <v>55</v>
      </c>
      <c r="G150">
        <v>5</v>
      </c>
      <c r="H150" s="1" t="s">
        <v>35</v>
      </c>
      <c r="I150">
        <v>12.2</v>
      </c>
      <c r="J150">
        <v>18</v>
      </c>
      <c r="K150" s="1" t="s">
        <v>36</v>
      </c>
      <c r="L150" s="1" t="s">
        <v>49</v>
      </c>
      <c r="M150">
        <v>0</v>
      </c>
      <c r="N150">
        <v>0</v>
      </c>
      <c r="O150" s="1" t="s">
        <v>27</v>
      </c>
      <c r="P150">
        <v>1</v>
      </c>
      <c r="Q150">
        <v>1</v>
      </c>
      <c r="R150">
        <v>9</v>
      </c>
      <c r="S150">
        <v>19</v>
      </c>
      <c r="T150">
        <v>1</v>
      </c>
      <c r="U150">
        <v>0</v>
      </c>
      <c r="V150">
        <v>5.74</v>
      </c>
    </row>
    <row r="151" spans="1:22">
      <c r="A151" s="1" t="s">
        <v>197</v>
      </c>
      <c r="B151" s="1" t="s">
        <v>29</v>
      </c>
      <c r="C151" s="2">
        <v>46287</v>
      </c>
      <c r="D151" s="3">
        <v>0.32291666666666669</v>
      </c>
      <c r="E151">
        <v>110</v>
      </c>
      <c r="F151">
        <v>113</v>
      </c>
      <c r="G151">
        <v>4</v>
      </c>
      <c r="H151" s="1" t="s">
        <v>30</v>
      </c>
      <c r="I151">
        <v>32</v>
      </c>
      <c r="J151">
        <v>14</v>
      </c>
      <c r="K151" s="1" t="s">
        <v>31</v>
      </c>
      <c r="L151" s="1" t="s">
        <v>26</v>
      </c>
      <c r="M151">
        <v>0</v>
      </c>
      <c r="N151">
        <v>0</v>
      </c>
      <c r="O151" s="1" t="s">
        <v>27</v>
      </c>
      <c r="P151">
        <v>1</v>
      </c>
      <c r="Q151">
        <v>1</v>
      </c>
      <c r="R151">
        <v>0</v>
      </c>
      <c r="S151">
        <v>7</v>
      </c>
      <c r="T151">
        <v>0</v>
      </c>
      <c r="U151">
        <v>0</v>
      </c>
      <c r="V151">
        <v>3.44</v>
      </c>
    </row>
    <row r="152" spans="1:22">
      <c r="A152" s="1" t="s">
        <v>198</v>
      </c>
      <c r="B152" s="1" t="s">
        <v>29</v>
      </c>
      <c r="C152" s="2">
        <v>46267</v>
      </c>
      <c r="D152" s="3">
        <v>0.84375</v>
      </c>
      <c r="E152">
        <v>113</v>
      </c>
      <c r="F152">
        <v>106</v>
      </c>
      <c r="G152">
        <v>6</v>
      </c>
      <c r="H152" s="1" t="s">
        <v>30</v>
      </c>
      <c r="I152">
        <v>32</v>
      </c>
      <c r="J152">
        <v>14</v>
      </c>
      <c r="K152" s="1" t="s">
        <v>31</v>
      </c>
      <c r="L152" s="1" t="s">
        <v>69</v>
      </c>
      <c r="M152">
        <v>0</v>
      </c>
      <c r="N152">
        <v>0</v>
      </c>
      <c r="O152" s="1" t="s">
        <v>27</v>
      </c>
      <c r="P152">
        <v>1</v>
      </c>
      <c r="Q152">
        <v>1</v>
      </c>
      <c r="R152">
        <v>27</v>
      </c>
      <c r="S152">
        <v>20</v>
      </c>
      <c r="T152">
        <v>0</v>
      </c>
      <c r="U152">
        <v>0</v>
      </c>
      <c r="V152">
        <v>3.53</v>
      </c>
    </row>
    <row r="153" spans="1:22">
      <c r="A153" s="1" t="s">
        <v>199</v>
      </c>
      <c r="B153" s="1" t="s">
        <v>59</v>
      </c>
      <c r="C153" s="2">
        <v>46275</v>
      </c>
      <c r="D153" s="3">
        <v>0.34375</v>
      </c>
      <c r="E153">
        <v>80</v>
      </c>
      <c r="F153">
        <v>78</v>
      </c>
      <c r="G153">
        <v>3</v>
      </c>
      <c r="H153" s="1" t="s">
        <v>60</v>
      </c>
      <c r="I153">
        <v>24.8</v>
      </c>
      <c r="J153">
        <v>28</v>
      </c>
      <c r="K153" s="1" t="s">
        <v>61</v>
      </c>
      <c r="L153" s="1" t="s">
        <v>56</v>
      </c>
      <c r="M153">
        <v>0</v>
      </c>
      <c r="N153">
        <v>0</v>
      </c>
      <c r="O153" s="1" t="s">
        <v>27</v>
      </c>
      <c r="P153">
        <v>1</v>
      </c>
      <c r="Q153">
        <v>1</v>
      </c>
      <c r="R153">
        <v>5</v>
      </c>
      <c r="S153">
        <v>8</v>
      </c>
      <c r="T153">
        <v>1</v>
      </c>
      <c r="U153">
        <v>0</v>
      </c>
      <c r="V153">
        <v>3.23</v>
      </c>
    </row>
    <row r="154" spans="1:22">
      <c r="A154" s="1" t="s">
        <v>200</v>
      </c>
      <c r="B154" s="1" t="s">
        <v>29</v>
      </c>
      <c r="C154" s="2">
        <v>46270</v>
      </c>
      <c r="D154" s="3">
        <v>0.92708333333333337</v>
      </c>
      <c r="E154">
        <v>79</v>
      </c>
      <c r="F154">
        <v>67</v>
      </c>
      <c r="G154">
        <v>4</v>
      </c>
      <c r="H154" s="1" t="s">
        <v>30</v>
      </c>
      <c r="I154">
        <v>32</v>
      </c>
      <c r="J154">
        <v>14</v>
      </c>
      <c r="K154" s="1" t="s">
        <v>31</v>
      </c>
      <c r="L154" s="1" t="s">
        <v>32</v>
      </c>
      <c r="M154">
        <v>1</v>
      </c>
      <c r="N154">
        <v>1</v>
      </c>
      <c r="O154" s="1" t="s">
        <v>27</v>
      </c>
      <c r="P154">
        <v>1</v>
      </c>
      <c r="Q154">
        <v>1</v>
      </c>
      <c r="R154">
        <v>5</v>
      </c>
      <c r="S154">
        <v>22</v>
      </c>
      <c r="T154">
        <v>0</v>
      </c>
      <c r="U154">
        <v>0</v>
      </c>
      <c r="V154">
        <v>2.4700000000000002</v>
      </c>
    </row>
    <row r="155" spans="1:22">
      <c r="A155" s="1" t="s">
        <v>201</v>
      </c>
      <c r="B155" s="1" t="s">
        <v>29</v>
      </c>
      <c r="C155" s="2">
        <v>46292</v>
      </c>
      <c r="D155" s="3">
        <v>0.875</v>
      </c>
      <c r="E155">
        <v>49</v>
      </c>
      <c r="F155">
        <v>47</v>
      </c>
      <c r="G155">
        <v>2</v>
      </c>
      <c r="H155" s="1" t="s">
        <v>30</v>
      </c>
      <c r="I155">
        <v>32</v>
      </c>
      <c r="J155">
        <v>14</v>
      </c>
      <c r="K155" s="1" t="s">
        <v>31</v>
      </c>
      <c r="L155" s="1" t="s">
        <v>38</v>
      </c>
      <c r="M155">
        <v>1</v>
      </c>
      <c r="N155">
        <v>0</v>
      </c>
      <c r="O155" s="1" t="s">
        <v>134</v>
      </c>
      <c r="P155">
        <v>1</v>
      </c>
      <c r="Q155">
        <v>1</v>
      </c>
      <c r="R155">
        <v>0</v>
      </c>
      <c r="S155">
        <v>21</v>
      </c>
      <c r="T155">
        <v>0</v>
      </c>
      <c r="U155">
        <v>1</v>
      </c>
      <c r="V155">
        <v>1.53</v>
      </c>
    </row>
    <row r="156" spans="1:22">
      <c r="A156" s="1" t="s">
        <v>202</v>
      </c>
      <c r="B156" s="1" t="s">
        <v>45</v>
      </c>
      <c r="C156" s="2">
        <v>46275</v>
      </c>
      <c r="D156" s="3">
        <v>0.34375</v>
      </c>
      <c r="E156">
        <v>167</v>
      </c>
      <c r="F156">
        <v>154</v>
      </c>
      <c r="G156">
        <v>6</v>
      </c>
      <c r="H156" s="1" t="s">
        <v>46</v>
      </c>
      <c r="I156">
        <v>18.5</v>
      </c>
      <c r="J156">
        <v>22</v>
      </c>
      <c r="K156" s="1" t="s">
        <v>47</v>
      </c>
      <c r="L156" s="1" t="s">
        <v>56</v>
      </c>
      <c r="M156">
        <v>0</v>
      </c>
      <c r="N156">
        <v>0</v>
      </c>
      <c r="O156" s="1" t="s">
        <v>27</v>
      </c>
      <c r="P156">
        <v>1</v>
      </c>
      <c r="Q156">
        <v>1</v>
      </c>
      <c r="R156">
        <v>1</v>
      </c>
      <c r="S156">
        <v>8</v>
      </c>
      <c r="T156">
        <v>1</v>
      </c>
      <c r="U156">
        <v>0</v>
      </c>
      <c r="V156">
        <v>9.0299999999999994</v>
      </c>
    </row>
    <row r="157" spans="1:22">
      <c r="A157" s="1" t="s">
        <v>203</v>
      </c>
      <c r="B157" s="1" t="s">
        <v>29</v>
      </c>
      <c r="C157" s="2">
        <v>46266</v>
      </c>
      <c r="D157" s="3">
        <v>0.64583333333333337</v>
      </c>
      <c r="E157">
        <v>165</v>
      </c>
      <c r="F157">
        <v>160</v>
      </c>
      <c r="G157">
        <v>5</v>
      </c>
      <c r="H157" s="1" t="s">
        <v>30</v>
      </c>
      <c r="I157">
        <v>32</v>
      </c>
      <c r="J157">
        <v>14</v>
      </c>
      <c r="K157" s="1" t="s">
        <v>31</v>
      </c>
      <c r="L157" s="1" t="s">
        <v>26</v>
      </c>
      <c r="M157">
        <v>0</v>
      </c>
      <c r="N157">
        <v>0</v>
      </c>
      <c r="O157" s="1" t="s">
        <v>27</v>
      </c>
      <c r="P157">
        <v>1</v>
      </c>
      <c r="Q157">
        <v>1</v>
      </c>
      <c r="R157">
        <v>7</v>
      </c>
      <c r="S157">
        <v>15</v>
      </c>
      <c r="T157">
        <v>0</v>
      </c>
      <c r="U157">
        <v>0</v>
      </c>
      <c r="V157">
        <v>5.16</v>
      </c>
    </row>
    <row r="158" spans="1:22">
      <c r="A158" s="1" t="s">
        <v>204</v>
      </c>
      <c r="B158" s="1" t="s">
        <v>34</v>
      </c>
      <c r="C158" s="2">
        <v>46287</v>
      </c>
      <c r="D158" s="3">
        <v>0.67708333333333337</v>
      </c>
      <c r="E158">
        <v>60</v>
      </c>
      <c r="F158">
        <v>58</v>
      </c>
      <c r="G158">
        <v>3</v>
      </c>
      <c r="H158" s="1" t="s">
        <v>35</v>
      </c>
      <c r="I158">
        <v>12.2</v>
      </c>
      <c r="J158">
        <v>18</v>
      </c>
      <c r="K158" s="1" t="s">
        <v>36</v>
      </c>
      <c r="L158" s="1" t="s">
        <v>26</v>
      </c>
      <c r="M158">
        <v>0</v>
      </c>
      <c r="N158">
        <v>0</v>
      </c>
      <c r="O158" s="1" t="s">
        <v>27</v>
      </c>
      <c r="P158">
        <v>1</v>
      </c>
      <c r="Q158">
        <v>1</v>
      </c>
      <c r="R158">
        <v>3</v>
      </c>
      <c r="S158">
        <v>16</v>
      </c>
      <c r="T158">
        <v>0</v>
      </c>
      <c r="U158">
        <v>0</v>
      </c>
      <c r="V158">
        <v>4.92</v>
      </c>
    </row>
    <row r="159" spans="1:22">
      <c r="A159" s="1" t="s">
        <v>205</v>
      </c>
      <c r="B159" s="1" t="s">
        <v>23</v>
      </c>
      <c r="C159" s="2">
        <v>46271</v>
      </c>
      <c r="D159" s="3">
        <v>0.45833333333333331</v>
      </c>
      <c r="E159">
        <v>57</v>
      </c>
      <c r="F159">
        <v>60</v>
      </c>
      <c r="G159">
        <v>3</v>
      </c>
      <c r="H159" s="1" t="s">
        <v>24</v>
      </c>
      <c r="I159">
        <v>15</v>
      </c>
      <c r="J159">
        <v>16</v>
      </c>
      <c r="K159" s="1" t="s">
        <v>25</v>
      </c>
      <c r="L159" s="1" t="s">
        <v>38</v>
      </c>
      <c r="M159">
        <v>1</v>
      </c>
      <c r="N159">
        <v>0</v>
      </c>
      <c r="O159" s="1" t="s">
        <v>27</v>
      </c>
      <c r="P159">
        <v>1</v>
      </c>
      <c r="Q159">
        <v>1</v>
      </c>
      <c r="R159">
        <v>1</v>
      </c>
      <c r="S159">
        <v>11</v>
      </c>
      <c r="T159">
        <v>0</v>
      </c>
      <c r="U159">
        <v>0</v>
      </c>
      <c r="V159">
        <v>3.8</v>
      </c>
    </row>
    <row r="160" spans="1:22">
      <c r="A160" s="1" t="s">
        <v>206</v>
      </c>
      <c r="B160" s="1" t="s">
        <v>59</v>
      </c>
      <c r="C160" s="2">
        <v>46278</v>
      </c>
      <c r="D160" s="3">
        <v>0.47916666666666669</v>
      </c>
      <c r="E160">
        <v>95</v>
      </c>
      <c r="F160">
        <v>101</v>
      </c>
      <c r="G160">
        <v>4</v>
      </c>
      <c r="H160" s="1" t="s">
        <v>60</v>
      </c>
      <c r="I160">
        <v>24.8</v>
      </c>
      <c r="J160">
        <v>28</v>
      </c>
      <c r="K160" s="1" t="s">
        <v>61</v>
      </c>
      <c r="L160" s="1" t="s">
        <v>38</v>
      </c>
      <c r="M160">
        <v>1</v>
      </c>
      <c r="N160">
        <v>0</v>
      </c>
      <c r="O160" s="1" t="s">
        <v>27</v>
      </c>
      <c r="P160">
        <v>1</v>
      </c>
      <c r="Q160">
        <v>1</v>
      </c>
      <c r="R160">
        <v>4</v>
      </c>
      <c r="S160">
        <v>11</v>
      </c>
      <c r="T160">
        <v>0</v>
      </c>
      <c r="U160">
        <v>0</v>
      </c>
      <c r="V160">
        <v>3.83</v>
      </c>
    </row>
    <row r="161" spans="1:22">
      <c r="A161" s="1" t="s">
        <v>207</v>
      </c>
      <c r="B161" s="1" t="s">
        <v>29</v>
      </c>
      <c r="C161" s="2">
        <v>46280</v>
      </c>
      <c r="D161" s="3">
        <v>0.88541666666666663</v>
      </c>
      <c r="E161">
        <v>67</v>
      </c>
      <c r="F161">
        <v>69</v>
      </c>
      <c r="G161">
        <v>5</v>
      </c>
      <c r="H161" s="1" t="s">
        <v>30</v>
      </c>
      <c r="I161">
        <v>32</v>
      </c>
      <c r="J161">
        <v>14</v>
      </c>
      <c r="K161" s="1" t="s">
        <v>31</v>
      </c>
      <c r="L161" s="1" t="s">
        <v>26</v>
      </c>
      <c r="M161">
        <v>0</v>
      </c>
      <c r="N161">
        <v>0</v>
      </c>
      <c r="O161" s="1" t="s">
        <v>27</v>
      </c>
      <c r="P161">
        <v>1</v>
      </c>
      <c r="Q161">
        <v>1</v>
      </c>
      <c r="R161">
        <v>3</v>
      </c>
      <c r="S161">
        <v>21</v>
      </c>
      <c r="T161">
        <v>0</v>
      </c>
      <c r="U161">
        <v>0</v>
      </c>
      <c r="V161">
        <v>2.09</v>
      </c>
    </row>
    <row r="162" spans="1:22">
      <c r="A162" s="1" t="s">
        <v>208</v>
      </c>
      <c r="B162" s="1" t="s">
        <v>45</v>
      </c>
      <c r="C162" s="2">
        <v>46269</v>
      </c>
      <c r="D162" s="3">
        <v>0.61458333333333337</v>
      </c>
      <c r="E162">
        <v>150</v>
      </c>
      <c r="F162">
        <v>142</v>
      </c>
      <c r="G162">
        <v>6</v>
      </c>
      <c r="H162" s="1" t="s">
        <v>46</v>
      </c>
      <c r="I162">
        <v>18.5</v>
      </c>
      <c r="J162">
        <v>22</v>
      </c>
      <c r="K162" s="1" t="s">
        <v>47</v>
      </c>
      <c r="L162" s="1" t="s">
        <v>49</v>
      </c>
      <c r="M162">
        <v>0</v>
      </c>
      <c r="N162">
        <v>0</v>
      </c>
      <c r="O162" s="1" t="s">
        <v>27</v>
      </c>
      <c r="P162">
        <v>1</v>
      </c>
      <c r="Q162">
        <v>1</v>
      </c>
      <c r="R162">
        <v>26</v>
      </c>
      <c r="S162">
        <v>14</v>
      </c>
      <c r="T162">
        <v>0</v>
      </c>
      <c r="U162">
        <v>0</v>
      </c>
      <c r="V162">
        <v>8.11</v>
      </c>
    </row>
    <row r="163" spans="1:22">
      <c r="A163" s="1" t="s">
        <v>209</v>
      </c>
      <c r="B163" s="1" t="s">
        <v>34</v>
      </c>
      <c r="C163" s="2">
        <v>46278</v>
      </c>
      <c r="D163" s="3">
        <v>0.36458333333333331</v>
      </c>
      <c r="E163">
        <v>73</v>
      </c>
      <c r="F163">
        <v>73</v>
      </c>
      <c r="G163">
        <v>5</v>
      </c>
      <c r="H163" s="1" t="s">
        <v>35</v>
      </c>
      <c r="I163">
        <v>12.2</v>
      </c>
      <c r="J163">
        <v>18</v>
      </c>
      <c r="K163" s="1" t="s">
        <v>36</v>
      </c>
      <c r="L163" s="1" t="s">
        <v>38</v>
      </c>
      <c r="M163">
        <v>1</v>
      </c>
      <c r="N163">
        <v>0</v>
      </c>
      <c r="O163" s="1" t="s">
        <v>27</v>
      </c>
      <c r="P163">
        <v>1</v>
      </c>
      <c r="Q163">
        <v>1</v>
      </c>
      <c r="R163">
        <v>5</v>
      </c>
      <c r="S163">
        <v>8</v>
      </c>
      <c r="T163">
        <v>1</v>
      </c>
      <c r="U163">
        <v>0</v>
      </c>
      <c r="V163">
        <v>5.98</v>
      </c>
    </row>
    <row r="164" spans="1:22">
      <c r="A164" s="1" t="s">
        <v>210</v>
      </c>
      <c r="B164" s="1" t="s">
        <v>45</v>
      </c>
      <c r="C164" s="2">
        <v>46289</v>
      </c>
      <c r="D164" s="3">
        <v>0.34375</v>
      </c>
      <c r="E164">
        <v>109</v>
      </c>
      <c r="F164">
        <v>99</v>
      </c>
      <c r="G164">
        <v>5</v>
      </c>
      <c r="H164" s="1" t="s">
        <v>46</v>
      </c>
      <c r="I164">
        <v>18.5</v>
      </c>
      <c r="J164">
        <v>22</v>
      </c>
      <c r="K164" s="1" t="s">
        <v>47</v>
      </c>
      <c r="L164" s="1" t="s">
        <v>56</v>
      </c>
      <c r="M164">
        <v>0</v>
      </c>
      <c r="N164">
        <v>0</v>
      </c>
      <c r="O164" s="1" t="s">
        <v>27</v>
      </c>
      <c r="P164">
        <v>1</v>
      </c>
      <c r="Q164">
        <v>1</v>
      </c>
      <c r="R164">
        <v>3</v>
      </c>
      <c r="S164">
        <v>8</v>
      </c>
      <c r="T164">
        <v>1</v>
      </c>
      <c r="U164">
        <v>0</v>
      </c>
      <c r="V164">
        <v>5.89</v>
      </c>
    </row>
    <row r="165" spans="1:22">
      <c r="A165" s="1" t="s">
        <v>211</v>
      </c>
      <c r="B165" s="1" t="s">
        <v>23</v>
      </c>
      <c r="C165" s="2">
        <v>46285</v>
      </c>
      <c r="D165" s="3">
        <v>0.46875</v>
      </c>
      <c r="E165">
        <v>128</v>
      </c>
      <c r="F165">
        <v>116</v>
      </c>
      <c r="G165">
        <v>5</v>
      </c>
      <c r="H165" s="1" t="s">
        <v>24</v>
      </c>
      <c r="I165">
        <v>15</v>
      </c>
      <c r="J165">
        <v>16</v>
      </c>
      <c r="K165" s="1" t="s">
        <v>25</v>
      </c>
      <c r="L165" s="1" t="s">
        <v>38</v>
      </c>
      <c r="M165">
        <v>1</v>
      </c>
      <c r="N165">
        <v>0</v>
      </c>
      <c r="O165" s="1" t="s">
        <v>52</v>
      </c>
      <c r="P165">
        <v>1</v>
      </c>
      <c r="Q165">
        <v>1</v>
      </c>
      <c r="R165">
        <v>4</v>
      </c>
      <c r="S165">
        <v>11</v>
      </c>
      <c r="T165">
        <v>0</v>
      </c>
      <c r="U165">
        <v>1</v>
      </c>
      <c r="V165">
        <v>8.5299999999999994</v>
      </c>
    </row>
    <row r="166" spans="1:22">
      <c r="A166" s="1" t="s">
        <v>212</v>
      </c>
      <c r="B166" s="1" t="s">
        <v>23</v>
      </c>
      <c r="C166" s="2">
        <v>46289</v>
      </c>
      <c r="D166" s="3">
        <v>0.23958333333333334</v>
      </c>
      <c r="E166">
        <v>66</v>
      </c>
      <c r="F166">
        <v>69</v>
      </c>
      <c r="G166">
        <v>6</v>
      </c>
      <c r="H166" s="1" t="s">
        <v>24</v>
      </c>
      <c r="I166">
        <v>15</v>
      </c>
      <c r="J166">
        <v>16</v>
      </c>
      <c r="K166" s="1" t="s">
        <v>25</v>
      </c>
      <c r="L166" s="1" t="s">
        <v>56</v>
      </c>
      <c r="M166">
        <v>0</v>
      </c>
      <c r="N166">
        <v>0</v>
      </c>
      <c r="O166" s="1" t="s">
        <v>27</v>
      </c>
      <c r="P166">
        <v>1</v>
      </c>
      <c r="Q166">
        <v>1</v>
      </c>
      <c r="R166">
        <v>0</v>
      </c>
      <c r="S166">
        <v>5</v>
      </c>
      <c r="T166">
        <v>0</v>
      </c>
      <c r="U166">
        <v>0</v>
      </c>
      <c r="V166">
        <v>4.4000000000000004</v>
      </c>
    </row>
    <row r="167" spans="1:22">
      <c r="A167" s="1" t="s">
        <v>213</v>
      </c>
      <c r="B167" s="1" t="s">
        <v>59</v>
      </c>
      <c r="C167" s="2">
        <v>46280</v>
      </c>
      <c r="D167" s="3">
        <v>0.71875</v>
      </c>
      <c r="E167">
        <v>38</v>
      </c>
      <c r="F167">
        <v>40</v>
      </c>
      <c r="G167">
        <v>3</v>
      </c>
      <c r="H167" s="1" t="s">
        <v>60</v>
      </c>
      <c r="I167">
        <v>24.8</v>
      </c>
      <c r="J167">
        <v>28</v>
      </c>
      <c r="K167" s="1" t="s">
        <v>61</v>
      </c>
      <c r="L167" s="1" t="s">
        <v>26</v>
      </c>
      <c r="M167">
        <v>0</v>
      </c>
      <c r="N167">
        <v>0</v>
      </c>
      <c r="O167" s="1" t="s">
        <v>27</v>
      </c>
      <c r="P167">
        <v>1</v>
      </c>
      <c r="Q167">
        <v>1</v>
      </c>
      <c r="R167">
        <v>0</v>
      </c>
      <c r="S167">
        <v>17</v>
      </c>
      <c r="T167">
        <v>1</v>
      </c>
      <c r="U167">
        <v>0</v>
      </c>
      <c r="V167">
        <v>1.53</v>
      </c>
    </row>
    <row r="168" spans="1:22">
      <c r="A168" s="1" t="s">
        <v>214</v>
      </c>
      <c r="B168" s="1" t="s">
        <v>23</v>
      </c>
      <c r="C168" s="2">
        <v>46294</v>
      </c>
      <c r="D168" s="3">
        <v>0.8125</v>
      </c>
      <c r="E168">
        <v>115</v>
      </c>
      <c r="F168">
        <v>113</v>
      </c>
      <c r="G168">
        <v>6</v>
      </c>
      <c r="H168" s="1" t="s">
        <v>24</v>
      </c>
      <c r="I168">
        <v>15</v>
      </c>
      <c r="J168">
        <v>16</v>
      </c>
      <c r="K168" s="1" t="s">
        <v>25</v>
      </c>
      <c r="L168" s="1" t="s">
        <v>26</v>
      </c>
      <c r="M168">
        <v>0</v>
      </c>
      <c r="N168">
        <v>0</v>
      </c>
      <c r="O168" s="1" t="s">
        <v>27</v>
      </c>
      <c r="P168">
        <v>1</v>
      </c>
      <c r="Q168">
        <v>1</v>
      </c>
      <c r="R168">
        <v>3</v>
      </c>
      <c r="S168">
        <v>19</v>
      </c>
      <c r="T168">
        <v>1</v>
      </c>
      <c r="U168">
        <v>0</v>
      </c>
      <c r="V168">
        <v>7.67</v>
      </c>
    </row>
    <row r="169" spans="1:22">
      <c r="A169" s="1" t="s">
        <v>215</v>
      </c>
      <c r="B169" s="1" t="s">
        <v>29</v>
      </c>
      <c r="C169" s="2">
        <v>46273</v>
      </c>
      <c r="D169" s="3">
        <v>0.72916666666666663</v>
      </c>
      <c r="E169">
        <v>98</v>
      </c>
      <c r="F169">
        <v>97</v>
      </c>
      <c r="G169">
        <v>4</v>
      </c>
      <c r="H169" s="1" t="s">
        <v>30</v>
      </c>
      <c r="I169">
        <v>32</v>
      </c>
      <c r="J169">
        <v>14</v>
      </c>
      <c r="K169" s="1" t="s">
        <v>31</v>
      </c>
      <c r="L169" s="1" t="s">
        <v>26</v>
      </c>
      <c r="M169">
        <v>0</v>
      </c>
      <c r="N169">
        <v>0</v>
      </c>
      <c r="O169" s="1" t="s">
        <v>27</v>
      </c>
      <c r="P169">
        <v>1</v>
      </c>
      <c r="Q169">
        <v>1</v>
      </c>
      <c r="R169">
        <v>7</v>
      </c>
      <c r="S169">
        <v>17</v>
      </c>
      <c r="T169">
        <v>1</v>
      </c>
      <c r="U169">
        <v>0</v>
      </c>
      <c r="V169">
        <v>3.06</v>
      </c>
    </row>
    <row r="170" spans="1:22">
      <c r="A170" s="1" t="s">
        <v>216</v>
      </c>
      <c r="B170" s="1" t="s">
        <v>45</v>
      </c>
      <c r="C170" s="2">
        <v>46270</v>
      </c>
      <c r="D170" s="3">
        <v>0.55208333333333337</v>
      </c>
      <c r="E170">
        <v>72</v>
      </c>
      <c r="F170">
        <v>63</v>
      </c>
      <c r="G170">
        <v>3</v>
      </c>
      <c r="H170" s="1" t="s">
        <v>46</v>
      </c>
      <c r="I170">
        <v>18.5</v>
      </c>
      <c r="J170">
        <v>22</v>
      </c>
      <c r="K170" s="1" t="s">
        <v>47</v>
      </c>
      <c r="L170" s="1" t="s">
        <v>32</v>
      </c>
      <c r="M170">
        <v>1</v>
      </c>
      <c r="N170">
        <v>1</v>
      </c>
      <c r="O170" s="1" t="s">
        <v>27</v>
      </c>
      <c r="P170">
        <v>1</v>
      </c>
      <c r="Q170">
        <v>1</v>
      </c>
      <c r="R170">
        <v>2</v>
      </c>
      <c r="S170">
        <v>13</v>
      </c>
      <c r="T170">
        <v>0</v>
      </c>
      <c r="U170">
        <v>0</v>
      </c>
      <c r="V170">
        <v>3.89</v>
      </c>
    </row>
    <row r="171" spans="1:22">
      <c r="A171" s="1" t="s">
        <v>217</v>
      </c>
      <c r="B171" s="1" t="s">
        <v>23</v>
      </c>
      <c r="C171" s="2">
        <v>46294</v>
      </c>
      <c r="D171" s="3">
        <v>0.5625</v>
      </c>
      <c r="E171">
        <v>168</v>
      </c>
      <c r="F171">
        <v>184</v>
      </c>
      <c r="G171">
        <v>6</v>
      </c>
      <c r="H171" s="1" t="s">
        <v>24</v>
      </c>
      <c r="I171">
        <v>15</v>
      </c>
      <c r="J171">
        <v>16</v>
      </c>
      <c r="K171" s="1" t="s">
        <v>25</v>
      </c>
      <c r="L171" s="1" t="s">
        <v>26</v>
      </c>
      <c r="M171">
        <v>0</v>
      </c>
      <c r="N171">
        <v>0</v>
      </c>
      <c r="O171" s="1" t="s">
        <v>27</v>
      </c>
      <c r="P171">
        <v>1</v>
      </c>
      <c r="Q171">
        <v>1</v>
      </c>
      <c r="R171">
        <v>4</v>
      </c>
      <c r="S171">
        <v>13</v>
      </c>
      <c r="T171">
        <v>0</v>
      </c>
      <c r="U171">
        <v>0</v>
      </c>
      <c r="V171">
        <v>11.2</v>
      </c>
    </row>
    <row r="172" spans="1:22">
      <c r="A172" s="1" t="s">
        <v>218</v>
      </c>
      <c r="B172" s="1" t="s">
        <v>23</v>
      </c>
      <c r="C172" s="2">
        <v>46280</v>
      </c>
      <c r="D172" s="3">
        <v>0.61458333333333337</v>
      </c>
      <c r="E172">
        <v>35</v>
      </c>
      <c r="F172">
        <v>35</v>
      </c>
      <c r="G172">
        <v>3</v>
      </c>
      <c r="H172" s="1" t="s">
        <v>24</v>
      </c>
      <c r="I172">
        <v>15</v>
      </c>
      <c r="J172">
        <v>16</v>
      </c>
      <c r="K172" s="1" t="s">
        <v>25</v>
      </c>
      <c r="L172" s="1" t="s">
        <v>26</v>
      </c>
      <c r="M172">
        <v>0</v>
      </c>
      <c r="N172">
        <v>0</v>
      </c>
      <c r="O172" s="1" t="s">
        <v>27</v>
      </c>
      <c r="P172">
        <v>1</v>
      </c>
      <c r="Q172">
        <v>1</v>
      </c>
      <c r="R172">
        <v>2</v>
      </c>
      <c r="S172">
        <v>14</v>
      </c>
      <c r="T172">
        <v>0</v>
      </c>
      <c r="U172">
        <v>0</v>
      </c>
      <c r="V172">
        <v>2.33</v>
      </c>
    </row>
    <row r="173" spans="1:22">
      <c r="A173" s="1" t="s">
        <v>219</v>
      </c>
      <c r="B173" s="1" t="s">
        <v>45</v>
      </c>
      <c r="C173" s="2">
        <v>46269</v>
      </c>
      <c r="D173" s="3">
        <v>0.61458333333333337</v>
      </c>
      <c r="E173">
        <v>71</v>
      </c>
      <c r="F173">
        <v>77</v>
      </c>
      <c r="G173">
        <v>4</v>
      </c>
      <c r="H173" s="1" t="s">
        <v>46</v>
      </c>
      <c r="I173">
        <v>18.5</v>
      </c>
      <c r="J173">
        <v>22</v>
      </c>
      <c r="K173" s="1" t="s">
        <v>47</v>
      </c>
      <c r="L173" s="1" t="s">
        <v>49</v>
      </c>
      <c r="M173">
        <v>0</v>
      </c>
      <c r="N173">
        <v>0</v>
      </c>
      <c r="O173" s="1" t="s">
        <v>27</v>
      </c>
      <c r="P173">
        <v>1</v>
      </c>
      <c r="Q173">
        <v>1</v>
      </c>
      <c r="R173">
        <v>3</v>
      </c>
      <c r="S173">
        <v>14</v>
      </c>
      <c r="T173">
        <v>0</v>
      </c>
      <c r="U173">
        <v>0</v>
      </c>
      <c r="V173">
        <v>3.84</v>
      </c>
    </row>
    <row r="174" spans="1:22">
      <c r="A174" s="1" t="s">
        <v>220</v>
      </c>
      <c r="B174" s="1" t="s">
        <v>45</v>
      </c>
      <c r="C174" s="2">
        <v>46277</v>
      </c>
      <c r="D174" s="3">
        <v>0.83333333333333337</v>
      </c>
      <c r="E174">
        <v>47</v>
      </c>
      <c r="F174">
        <v>45</v>
      </c>
      <c r="G174">
        <v>3</v>
      </c>
      <c r="H174" s="1" t="s">
        <v>46</v>
      </c>
      <c r="I174">
        <v>18.5</v>
      </c>
      <c r="J174">
        <v>22</v>
      </c>
      <c r="K174" s="1" t="s">
        <v>47</v>
      </c>
      <c r="L174" s="1" t="s">
        <v>32</v>
      </c>
      <c r="M174">
        <v>1</v>
      </c>
      <c r="N174">
        <v>0</v>
      </c>
      <c r="O174" s="1" t="s">
        <v>40</v>
      </c>
      <c r="P174">
        <v>1</v>
      </c>
      <c r="Q174">
        <v>1</v>
      </c>
      <c r="R174">
        <v>16</v>
      </c>
      <c r="S174">
        <v>20</v>
      </c>
      <c r="T174">
        <v>0</v>
      </c>
      <c r="U174">
        <v>1</v>
      </c>
      <c r="V174">
        <v>2.54</v>
      </c>
    </row>
    <row r="175" spans="1:22">
      <c r="A175" s="1" t="s">
        <v>221</v>
      </c>
      <c r="B175" s="1" t="s">
        <v>29</v>
      </c>
      <c r="C175" s="2">
        <v>46278</v>
      </c>
      <c r="D175" s="3">
        <v>0.40625</v>
      </c>
      <c r="E175">
        <v>87</v>
      </c>
      <c r="F175">
        <v>90</v>
      </c>
      <c r="G175">
        <v>3</v>
      </c>
      <c r="H175" s="1" t="s">
        <v>30</v>
      </c>
      <c r="I175">
        <v>32</v>
      </c>
      <c r="J175">
        <v>14</v>
      </c>
      <c r="K175" s="1" t="s">
        <v>31</v>
      </c>
      <c r="L175" s="1" t="s">
        <v>38</v>
      </c>
      <c r="M175">
        <v>1</v>
      </c>
      <c r="N175">
        <v>0</v>
      </c>
      <c r="O175" s="1" t="s">
        <v>27</v>
      </c>
      <c r="P175">
        <v>1</v>
      </c>
      <c r="Q175">
        <v>1</v>
      </c>
      <c r="R175">
        <v>3</v>
      </c>
      <c r="S175">
        <v>9</v>
      </c>
      <c r="T175">
        <v>1</v>
      </c>
      <c r="U175">
        <v>0</v>
      </c>
      <c r="V175">
        <v>2.72</v>
      </c>
    </row>
    <row r="176" spans="1:22">
      <c r="A176" s="1" t="s">
        <v>222</v>
      </c>
      <c r="B176" s="1" t="s">
        <v>34</v>
      </c>
      <c r="C176" s="2">
        <v>46267</v>
      </c>
      <c r="D176" s="3">
        <v>0.94791666666666663</v>
      </c>
      <c r="E176">
        <v>103</v>
      </c>
      <c r="F176">
        <v>103</v>
      </c>
      <c r="G176">
        <v>5</v>
      </c>
      <c r="H176" s="1" t="s">
        <v>35</v>
      </c>
      <c r="I176">
        <v>12.2</v>
      </c>
      <c r="J176">
        <v>18</v>
      </c>
      <c r="K176" s="1" t="s">
        <v>36</v>
      </c>
      <c r="L176" s="1" t="s">
        <v>69</v>
      </c>
      <c r="M176">
        <v>0</v>
      </c>
      <c r="N176">
        <v>0</v>
      </c>
      <c r="O176" s="1" t="s">
        <v>27</v>
      </c>
      <c r="P176">
        <v>1</v>
      </c>
      <c r="Q176">
        <v>1</v>
      </c>
      <c r="R176">
        <v>4</v>
      </c>
      <c r="S176">
        <v>22</v>
      </c>
      <c r="T176">
        <v>0</v>
      </c>
      <c r="U176">
        <v>0</v>
      </c>
      <c r="V176">
        <v>8.44</v>
      </c>
    </row>
    <row r="177" spans="1:22">
      <c r="A177" s="1" t="s">
        <v>223</v>
      </c>
      <c r="B177" s="1" t="s">
        <v>29</v>
      </c>
      <c r="C177" s="2">
        <v>46292</v>
      </c>
      <c r="D177" s="3">
        <v>0.36458333333333331</v>
      </c>
      <c r="E177">
        <v>67</v>
      </c>
      <c r="F177">
        <v>63</v>
      </c>
      <c r="G177">
        <v>4</v>
      </c>
      <c r="H177" s="1" t="s">
        <v>30</v>
      </c>
      <c r="I177">
        <v>32</v>
      </c>
      <c r="J177">
        <v>14</v>
      </c>
      <c r="K177" s="1" t="s">
        <v>31</v>
      </c>
      <c r="L177" s="1" t="s">
        <v>38</v>
      </c>
      <c r="M177">
        <v>1</v>
      </c>
      <c r="N177">
        <v>0</v>
      </c>
      <c r="O177" s="1" t="s">
        <v>134</v>
      </c>
      <c r="P177">
        <v>1</v>
      </c>
      <c r="Q177">
        <v>1</v>
      </c>
      <c r="R177">
        <v>0</v>
      </c>
      <c r="S177">
        <v>8</v>
      </c>
      <c r="T177">
        <v>1</v>
      </c>
      <c r="U177">
        <v>1</v>
      </c>
      <c r="V177">
        <v>2.09</v>
      </c>
    </row>
    <row r="178" spans="1:22">
      <c r="A178" s="1" t="s">
        <v>224</v>
      </c>
      <c r="B178" s="1" t="s">
        <v>23</v>
      </c>
      <c r="C178" s="2">
        <v>46284</v>
      </c>
      <c r="D178" s="3">
        <v>0.46875</v>
      </c>
      <c r="E178">
        <v>78</v>
      </c>
      <c r="F178">
        <v>79</v>
      </c>
      <c r="G178">
        <v>5</v>
      </c>
      <c r="H178" s="1" t="s">
        <v>24</v>
      </c>
      <c r="I178">
        <v>15</v>
      </c>
      <c r="J178">
        <v>16</v>
      </c>
      <c r="K178" s="1" t="s">
        <v>25</v>
      </c>
      <c r="L178" s="1" t="s">
        <v>32</v>
      </c>
      <c r="M178">
        <v>1</v>
      </c>
      <c r="N178">
        <v>1</v>
      </c>
      <c r="O178" s="1" t="s">
        <v>27</v>
      </c>
      <c r="P178">
        <v>1</v>
      </c>
      <c r="Q178">
        <v>1</v>
      </c>
      <c r="R178">
        <v>0</v>
      </c>
      <c r="S178">
        <v>11</v>
      </c>
      <c r="T178">
        <v>0</v>
      </c>
      <c r="U178">
        <v>0</v>
      </c>
      <c r="V178">
        <v>5.2</v>
      </c>
    </row>
    <row r="179" spans="1:22">
      <c r="A179" s="1" t="s">
        <v>225</v>
      </c>
      <c r="B179" s="1" t="s">
        <v>23</v>
      </c>
      <c r="C179" s="2">
        <v>46284</v>
      </c>
      <c r="D179" s="3">
        <v>0.9375</v>
      </c>
      <c r="E179">
        <v>116</v>
      </c>
      <c r="F179">
        <v>126</v>
      </c>
      <c r="G179">
        <v>7</v>
      </c>
      <c r="H179" s="1" t="s">
        <v>24</v>
      </c>
      <c r="I179">
        <v>15</v>
      </c>
      <c r="J179">
        <v>16</v>
      </c>
      <c r="K179" s="1" t="s">
        <v>25</v>
      </c>
      <c r="L179" s="1" t="s">
        <v>32</v>
      </c>
      <c r="M179">
        <v>1</v>
      </c>
      <c r="N179">
        <v>1</v>
      </c>
      <c r="O179" s="1" t="s">
        <v>27</v>
      </c>
      <c r="P179">
        <v>1</v>
      </c>
      <c r="Q179">
        <v>1</v>
      </c>
      <c r="R179">
        <v>4</v>
      </c>
      <c r="S179">
        <v>22</v>
      </c>
      <c r="T179">
        <v>0</v>
      </c>
      <c r="U179">
        <v>0</v>
      </c>
      <c r="V179">
        <v>7.73</v>
      </c>
    </row>
    <row r="180" spans="1:22">
      <c r="A180" s="1" t="s">
        <v>226</v>
      </c>
      <c r="B180" s="1" t="s">
        <v>45</v>
      </c>
      <c r="C180" s="2">
        <v>46269</v>
      </c>
      <c r="D180" s="3">
        <v>0.34375</v>
      </c>
      <c r="E180">
        <v>76</v>
      </c>
      <c r="F180">
        <v>72</v>
      </c>
      <c r="G180">
        <v>4</v>
      </c>
      <c r="H180" s="1" t="s">
        <v>46</v>
      </c>
      <c r="I180">
        <v>18.5</v>
      </c>
      <c r="J180">
        <v>22</v>
      </c>
      <c r="K180" s="1" t="s">
        <v>47</v>
      </c>
      <c r="L180" s="1" t="s">
        <v>49</v>
      </c>
      <c r="M180">
        <v>0</v>
      </c>
      <c r="N180">
        <v>0</v>
      </c>
      <c r="O180" s="1" t="s">
        <v>27</v>
      </c>
      <c r="P180">
        <v>1</v>
      </c>
      <c r="Q180">
        <v>1</v>
      </c>
      <c r="R180">
        <v>0</v>
      </c>
      <c r="S180">
        <v>8</v>
      </c>
      <c r="T180">
        <v>1</v>
      </c>
      <c r="U180">
        <v>0</v>
      </c>
      <c r="V180">
        <v>4.1100000000000003</v>
      </c>
    </row>
    <row r="181" spans="1:22">
      <c r="A181" s="1" t="s">
        <v>227</v>
      </c>
      <c r="B181" s="1" t="s">
        <v>29</v>
      </c>
      <c r="C181" s="2">
        <v>46269</v>
      </c>
      <c r="D181" s="3">
        <v>0.22916666666666666</v>
      </c>
      <c r="E181">
        <v>136</v>
      </c>
      <c r="F181">
        <v>141</v>
      </c>
      <c r="G181">
        <v>4</v>
      </c>
      <c r="H181" s="1" t="s">
        <v>30</v>
      </c>
      <c r="I181">
        <v>32</v>
      </c>
      <c r="J181">
        <v>14</v>
      </c>
      <c r="K181" s="1" t="s">
        <v>31</v>
      </c>
      <c r="L181" s="1" t="s">
        <v>49</v>
      </c>
      <c r="M181">
        <v>0</v>
      </c>
      <c r="N181">
        <v>0</v>
      </c>
      <c r="O181" s="1" t="s">
        <v>27</v>
      </c>
      <c r="P181">
        <v>1</v>
      </c>
      <c r="Q181">
        <v>1</v>
      </c>
      <c r="R181">
        <v>12</v>
      </c>
      <c r="S181">
        <v>5</v>
      </c>
      <c r="T181">
        <v>0</v>
      </c>
      <c r="U181">
        <v>0</v>
      </c>
      <c r="V181">
        <v>4.25</v>
      </c>
    </row>
    <row r="182" spans="1:22">
      <c r="A182" s="1" t="s">
        <v>228</v>
      </c>
      <c r="B182" s="1" t="s">
        <v>34</v>
      </c>
      <c r="C182" s="2">
        <v>46291</v>
      </c>
      <c r="D182" s="3">
        <v>0.91666666666666663</v>
      </c>
      <c r="E182">
        <v>158</v>
      </c>
      <c r="F182">
        <v>153</v>
      </c>
      <c r="G182">
        <v>6</v>
      </c>
      <c r="H182" s="1" t="s">
        <v>35</v>
      </c>
      <c r="I182">
        <v>12.2</v>
      </c>
      <c r="J182">
        <v>18</v>
      </c>
      <c r="K182" s="1" t="s">
        <v>36</v>
      </c>
      <c r="L182" s="1" t="s">
        <v>32</v>
      </c>
      <c r="M182">
        <v>1</v>
      </c>
      <c r="N182">
        <v>0</v>
      </c>
      <c r="O182" s="1" t="s">
        <v>27</v>
      </c>
      <c r="P182">
        <v>1</v>
      </c>
      <c r="Q182">
        <v>1</v>
      </c>
      <c r="R182">
        <v>6</v>
      </c>
      <c r="S182">
        <v>22</v>
      </c>
      <c r="T182">
        <v>0</v>
      </c>
      <c r="U182">
        <v>0</v>
      </c>
      <c r="V182">
        <v>12.95</v>
      </c>
    </row>
    <row r="183" spans="1:22">
      <c r="A183" s="1" t="s">
        <v>229</v>
      </c>
      <c r="B183" s="1" t="s">
        <v>29</v>
      </c>
      <c r="C183" s="2">
        <v>46276</v>
      </c>
      <c r="D183" s="3">
        <v>0.79166666666666663</v>
      </c>
      <c r="E183">
        <v>61</v>
      </c>
      <c r="F183">
        <v>55</v>
      </c>
      <c r="G183">
        <v>5</v>
      </c>
      <c r="H183" s="1" t="s">
        <v>30</v>
      </c>
      <c r="I183">
        <v>32</v>
      </c>
      <c r="J183">
        <v>14</v>
      </c>
      <c r="K183" s="1" t="s">
        <v>31</v>
      </c>
      <c r="L183" s="1" t="s">
        <v>49</v>
      </c>
      <c r="M183">
        <v>0</v>
      </c>
      <c r="N183">
        <v>0</v>
      </c>
      <c r="O183" s="1" t="s">
        <v>27</v>
      </c>
      <c r="P183">
        <v>1</v>
      </c>
      <c r="Q183">
        <v>1</v>
      </c>
      <c r="R183">
        <v>2</v>
      </c>
      <c r="S183">
        <v>19</v>
      </c>
      <c r="T183">
        <v>1</v>
      </c>
      <c r="U183">
        <v>0</v>
      </c>
      <c r="V183">
        <v>1.91</v>
      </c>
    </row>
    <row r="184" spans="1:22">
      <c r="A184" s="1" t="s">
        <v>230</v>
      </c>
      <c r="B184" s="1" t="s">
        <v>59</v>
      </c>
      <c r="C184" s="2">
        <v>46292</v>
      </c>
      <c r="D184" s="3">
        <v>0.32291666666666669</v>
      </c>
      <c r="E184">
        <v>117</v>
      </c>
      <c r="F184">
        <v>120</v>
      </c>
      <c r="G184">
        <v>6</v>
      </c>
      <c r="H184" s="1" t="s">
        <v>60</v>
      </c>
      <c r="I184">
        <v>24.8</v>
      </c>
      <c r="J184">
        <v>28</v>
      </c>
      <c r="K184" s="1" t="s">
        <v>61</v>
      </c>
      <c r="L184" s="1" t="s">
        <v>38</v>
      </c>
      <c r="M184">
        <v>1</v>
      </c>
      <c r="N184">
        <v>0</v>
      </c>
      <c r="O184" s="1" t="s">
        <v>134</v>
      </c>
      <c r="P184">
        <v>1</v>
      </c>
      <c r="Q184">
        <v>1</v>
      </c>
      <c r="R184">
        <v>1</v>
      </c>
      <c r="S184">
        <v>7</v>
      </c>
      <c r="T184">
        <v>0</v>
      </c>
      <c r="U184">
        <v>1</v>
      </c>
      <c r="V184">
        <v>4.72</v>
      </c>
    </row>
    <row r="185" spans="1:22">
      <c r="A185" s="1" t="s">
        <v>231</v>
      </c>
      <c r="B185" s="1" t="s">
        <v>34</v>
      </c>
      <c r="C185" s="2">
        <v>46270</v>
      </c>
      <c r="D185" s="3">
        <v>0.25</v>
      </c>
      <c r="E185">
        <v>140</v>
      </c>
      <c r="F185">
        <v>131</v>
      </c>
      <c r="G185">
        <v>6</v>
      </c>
      <c r="H185" s="1" t="s">
        <v>35</v>
      </c>
      <c r="I185">
        <v>12.2</v>
      </c>
      <c r="J185">
        <v>18</v>
      </c>
      <c r="K185" s="1" t="s">
        <v>36</v>
      </c>
      <c r="L185" s="1" t="s">
        <v>32</v>
      </c>
      <c r="M185">
        <v>1</v>
      </c>
      <c r="N185">
        <v>1</v>
      </c>
      <c r="O185" s="1" t="s">
        <v>27</v>
      </c>
      <c r="P185">
        <v>1</v>
      </c>
      <c r="Q185">
        <v>1</v>
      </c>
      <c r="R185">
        <v>7</v>
      </c>
      <c r="S185">
        <v>6</v>
      </c>
      <c r="T185">
        <v>0</v>
      </c>
      <c r="U185">
        <v>0</v>
      </c>
      <c r="V185">
        <v>11.48</v>
      </c>
    </row>
    <row r="186" spans="1:22">
      <c r="A186" s="1" t="s">
        <v>232</v>
      </c>
      <c r="B186" s="1" t="s">
        <v>23</v>
      </c>
      <c r="C186" s="2">
        <v>46285</v>
      </c>
      <c r="D186" s="3">
        <v>0.88541666666666663</v>
      </c>
      <c r="E186">
        <v>87</v>
      </c>
      <c r="F186">
        <v>99</v>
      </c>
      <c r="G186">
        <v>7</v>
      </c>
      <c r="H186" s="1" t="s">
        <v>24</v>
      </c>
      <c r="I186">
        <v>15</v>
      </c>
      <c r="J186">
        <v>16</v>
      </c>
      <c r="K186" s="1" t="s">
        <v>25</v>
      </c>
      <c r="L186" s="1" t="s">
        <v>38</v>
      </c>
      <c r="M186">
        <v>1</v>
      </c>
      <c r="N186">
        <v>0</v>
      </c>
      <c r="O186" s="1" t="s">
        <v>52</v>
      </c>
      <c r="P186">
        <v>1</v>
      </c>
      <c r="Q186">
        <v>1</v>
      </c>
      <c r="R186">
        <v>1</v>
      </c>
      <c r="S186">
        <v>21</v>
      </c>
      <c r="T186">
        <v>0</v>
      </c>
      <c r="U186">
        <v>1</v>
      </c>
      <c r="V186">
        <v>5.8</v>
      </c>
    </row>
    <row r="187" spans="1:22">
      <c r="A187" s="1" t="s">
        <v>233</v>
      </c>
      <c r="B187" s="1" t="s">
        <v>23</v>
      </c>
      <c r="C187" s="2">
        <v>46276</v>
      </c>
      <c r="D187" s="3">
        <v>0.83333333333333337</v>
      </c>
      <c r="E187">
        <v>146</v>
      </c>
      <c r="F187">
        <v>152</v>
      </c>
      <c r="G187">
        <v>5</v>
      </c>
      <c r="H187" s="1" t="s">
        <v>24</v>
      </c>
      <c r="I187">
        <v>15</v>
      </c>
      <c r="J187">
        <v>16</v>
      </c>
      <c r="K187" s="1" t="s">
        <v>25</v>
      </c>
      <c r="L187" s="1" t="s">
        <v>49</v>
      </c>
      <c r="M187">
        <v>0</v>
      </c>
      <c r="N187">
        <v>0</v>
      </c>
      <c r="O187" s="1" t="s">
        <v>27</v>
      </c>
      <c r="P187">
        <v>1</v>
      </c>
      <c r="Q187">
        <v>1</v>
      </c>
      <c r="R187">
        <v>1</v>
      </c>
      <c r="S187">
        <v>20</v>
      </c>
      <c r="T187">
        <v>0</v>
      </c>
      <c r="U187">
        <v>0</v>
      </c>
      <c r="V187">
        <v>9.73</v>
      </c>
    </row>
    <row r="188" spans="1:22">
      <c r="A188" s="1" t="s">
        <v>234</v>
      </c>
      <c r="B188" s="1" t="s">
        <v>34</v>
      </c>
      <c r="C188" s="2">
        <v>46295</v>
      </c>
      <c r="D188" s="3">
        <v>0.8125</v>
      </c>
      <c r="E188">
        <v>113</v>
      </c>
      <c r="F188">
        <v>107</v>
      </c>
      <c r="G188">
        <v>6</v>
      </c>
      <c r="H188" s="1" t="s">
        <v>35</v>
      </c>
      <c r="I188">
        <v>12.2</v>
      </c>
      <c r="J188">
        <v>18</v>
      </c>
      <c r="K188" s="1" t="s">
        <v>36</v>
      </c>
      <c r="L188" s="1" t="s">
        <v>69</v>
      </c>
      <c r="M188">
        <v>0</v>
      </c>
      <c r="N188">
        <v>0</v>
      </c>
      <c r="O188" s="1" t="s">
        <v>27</v>
      </c>
      <c r="P188">
        <v>1</v>
      </c>
      <c r="Q188">
        <v>1</v>
      </c>
      <c r="R188">
        <v>0</v>
      </c>
      <c r="S188">
        <v>19</v>
      </c>
      <c r="T188">
        <v>1</v>
      </c>
      <c r="U188">
        <v>0</v>
      </c>
      <c r="V188">
        <v>9.26</v>
      </c>
    </row>
    <row r="189" spans="1:22">
      <c r="A189" s="1" t="s">
        <v>235</v>
      </c>
      <c r="B189" s="1" t="s">
        <v>23</v>
      </c>
      <c r="C189" s="2">
        <v>46275</v>
      </c>
      <c r="D189" s="3">
        <v>0.48958333333333331</v>
      </c>
      <c r="E189">
        <v>78</v>
      </c>
      <c r="F189">
        <v>87</v>
      </c>
      <c r="G189">
        <v>4</v>
      </c>
      <c r="H189" s="1" t="s">
        <v>24</v>
      </c>
      <c r="I189">
        <v>15</v>
      </c>
      <c r="J189">
        <v>16</v>
      </c>
      <c r="K189" s="1" t="s">
        <v>25</v>
      </c>
      <c r="L189" s="1" t="s">
        <v>56</v>
      </c>
      <c r="M189">
        <v>0</v>
      </c>
      <c r="N189">
        <v>0</v>
      </c>
      <c r="O189" s="1" t="s">
        <v>27</v>
      </c>
      <c r="P189">
        <v>1</v>
      </c>
      <c r="Q189">
        <v>1</v>
      </c>
      <c r="R189">
        <v>5</v>
      </c>
      <c r="S189">
        <v>11</v>
      </c>
      <c r="T189">
        <v>0</v>
      </c>
      <c r="U189">
        <v>0</v>
      </c>
      <c r="V189">
        <v>5.2</v>
      </c>
    </row>
    <row r="190" spans="1:22">
      <c r="A190" s="1" t="s">
        <v>236</v>
      </c>
      <c r="B190" s="1" t="s">
        <v>29</v>
      </c>
      <c r="C190" s="2">
        <v>46273</v>
      </c>
      <c r="D190" s="3">
        <v>0.63541666666666663</v>
      </c>
      <c r="E190">
        <v>51</v>
      </c>
      <c r="F190">
        <v>60</v>
      </c>
      <c r="G190">
        <v>3</v>
      </c>
      <c r="H190" s="1" t="s">
        <v>30</v>
      </c>
      <c r="I190">
        <v>32</v>
      </c>
      <c r="J190">
        <v>14</v>
      </c>
      <c r="K190" s="1" t="s">
        <v>31</v>
      </c>
      <c r="L190" s="1" t="s">
        <v>26</v>
      </c>
      <c r="M190">
        <v>0</v>
      </c>
      <c r="N190">
        <v>0</v>
      </c>
      <c r="O190" s="1" t="s">
        <v>27</v>
      </c>
      <c r="P190">
        <v>1</v>
      </c>
      <c r="Q190">
        <v>1</v>
      </c>
      <c r="R190">
        <v>1</v>
      </c>
      <c r="S190">
        <v>15</v>
      </c>
      <c r="T190">
        <v>0</v>
      </c>
      <c r="U190">
        <v>0</v>
      </c>
      <c r="V190">
        <v>1.59</v>
      </c>
    </row>
    <row r="191" spans="1:22">
      <c r="A191" s="1" t="s">
        <v>237</v>
      </c>
      <c r="B191" s="1" t="s">
        <v>34</v>
      </c>
      <c r="C191" s="2">
        <v>46271</v>
      </c>
      <c r="D191" s="3">
        <v>0.55208333333333337</v>
      </c>
      <c r="E191">
        <v>116</v>
      </c>
      <c r="F191">
        <v>123</v>
      </c>
      <c r="G191">
        <v>4</v>
      </c>
      <c r="H191" s="1" t="s">
        <v>35</v>
      </c>
      <c r="I191">
        <v>12.2</v>
      </c>
      <c r="J191">
        <v>18</v>
      </c>
      <c r="K191" s="1" t="s">
        <v>36</v>
      </c>
      <c r="L191" s="1" t="s">
        <v>38</v>
      </c>
      <c r="M191">
        <v>1</v>
      </c>
      <c r="N191">
        <v>0</v>
      </c>
      <c r="O191" s="1" t="s">
        <v>27</v>
      </c>
      <c r="P191">
        <v>1</v>
      </c>
      <c r="Q191">
        <v>1</v>
      </c>
      <c r="R191">
        <v>5</v>
      </c>
      <c r="S191">
        <v>13</v>
      </c>
      <c r="T191">
        <v>0</v>
      </c>
      <c r="U191">
        <v>0</v>
      </c>
      <c r="V191">
        <v>9.51</v>
      </c>
    </row>
    <row r="192" spans="1:22">
      <c r="A192" s="1" t="s">
        <v>238</v>
      </c>
      <c r="B192" s="1" t="s">
        <v>29</v>
      </c>
      <c r="C192" s="2">
        <v>46271</v>
      </c>
      <c r="D192" s="3">
        <v>0.70833333333333337</v>
      </c>
      <c r="E192">
        <v>93</v>
      </c>
      <c r="F192">
        <v>82</v>
      </c>
      <c r="G192">
        <v>3</v>
      </c>
      <c r="H192" s="1" t="s">
        <v>30</v>
      </c>
      <c r="I192">
        <v>32</v>
      </c>
      <c r="J192">
        <v>14</v>
      </c>
      <c r="K192" s="1" t="s">
        <v>31</v>
      </c>
      <c r="L192" s="1" t="s">
        <v>38</v>
      </c>
      <c r="M192">
        <v>1</v>
      </c>
      <c r="N192">
        <v>0</v>
      </c>
      <c r="O192" s="1" t="s">
        <v>27</v>
      </c>
      <c r="P192">
        <v>1</v>
      </c>
      <c r="Q192">
        <v>1</v>
      </c>
      <c r="R192">
        <v>3</v>
      </c>
      <c r="S192">
        <v>17</v>
      </c>
      <c r="T192">
        <v>1</v>
      </c>
      <c r="U192">
        <v>0</v>
      </c>
      <c r="V192">
        <v>2.91</v>
      </c>
    </row>
    <row r="193" spans="1:22">
      <c r="A193" s="1" t="s">
        <v>239</v>
      </c>
      <c r="B193" s="1" t="s">
        <v>34</v>
      </c>
      <c r="C193" s="2">
        <v>46273</v>
      </c>
      <c r="D193" s="3">
        <v>0.28125</v>
      </c>
      <c r="E193">
        <v>93</v>
      </c>
      <c r="F193">
        <v>86</v>
      </c>
      <c r="G193">
        <v>5</v>
      </c>
      <c r="H193" s="1" t="s">
        <v>35</v>
      </c>
      <c r="I193">
        <v>12.2</v>
      </c>
      <c r="J193">
        <v>18</v>
      </c>
      <c r="K193" s="1" t="s">
        <v>36</v>
      </c>
      <c r="L193" s="1" t="s">
        <v>26</v>
      </c>
      <c r="M193">
        <v>0</v>
      </c>
      <c r="N193">
        <v>0</v>
      </c>
      <c r="O193" s="1" t="s">
        <v>27</v>
      </c>
      <c r="P193">
        <v>1</v>
      </c>
      <c r="Q193">
        <v>1</v>
      </c>
      <c r="R193">
        <v>4</v>
      </c>
      <c r="S193">
        <v>6</v>
      </c>
      <c r="T193">
        <v>0</v>
      </c>
      <c r="U193">
        <v>0</v>
      </c>
      <c r="V193">
        <v>7.62</v>
      </c>
    </row>
    <row r="194" spans="1:22">
      <c r="A194" s="1" t="s">
        <v>240</v>
      </c>
      <c r="B194" s="1" t="s">
        <v>23</v>
      </c>
      <c r="C194" s="2">
        <v>46288</v>
      </c>
      <c r="D194" s="3">
        <v>0.3125</v>
      </c>
      <c r="E194">
        <v>137</v>
      </c>
      <c r="F194">
        <v>134</v>
      </c>
      <c r="G194">
        <v>7</v>
      </c>
      <c r="H194" s="1" t="s">
        <v>24</v>
      </c>
      <c r="I194">
        <v>15</v>
      </c>
      <c r="J194">
        <v>16</v>
      </c>
      <c r="K194" s="1" t="s">
        <v>25</v>
      </c>
      <c r="L194" s="1" t="s">
        <v>69</v>
      </c>
      <c r="M194">
        <v>0</v>
      </c>
      <c r="N194">
        <v>0</v>
      </c>
      <c r="O194" s="1" t="s">
        <v>27</v>
      </c>
      <c r="P194">
        <v>1</v>
      </c>
      <c r="Q194">
        <v>1</v>
      </c>
      <c r="R194">
        <v>1</v>
      </c>
      <c r="S194">
        <v>7</v>
      </c>
      <c r="T194">
        <v>0</v>
      </c>
      <c r="U194">
        <v>0</v>
      </c>
      <c r="V194">
        <v>9.1300000000000008</v>
      </c>
    </row>
    <row r="195" spans="1:22">
      <c r="A195" s="1" t="s">
        <v>241</v>
      </c>
      <c r="B195" s="1" t="s">
        <v>29</v>
      </c>
      <c r="C195" s="2">
        <v>46280</v>
      </c>
      <c r="D195" s="3">
        <v>0.9375</v>
      </c>
      <c r="E195">
        <v>160</v>
      </c>
      <c r="F195">
        <v>157</v>
      </c>
      <c r="G195">
        <v>6</v>
      </c>
      <c r="H195" s="1" t="s">
        <v>30</v>
      </c>
      <c r="I195">
        <v>32</v>
      </c>
      <c r="J195">
        <v>14</v>
      </c>
      <c r="K195" s="1" t="s">
        <v>31</v>
      </c>
      <c r="L195" s="1" t="s">
        <v>26</v>
      </c>
      <c r="M195">
        <v>0</v>
      </c>
      <c r="N195">
        <v>0</v>
      </c>
      <c r="O195" s="1" t="s">
        <v>27</v>
      </c>
      <c r="P195">
        <v>1</v>
      </c>
      <c r="Q195">
        <v>1</v>
      </c>
      <c r="R195">
        <v>3</v>
      </c>
      <c r="S195">
        <v>22</v>
      </c>
      <c r="T195">
        <v>0</v>
      </c>
      <c r="U195">
        <v>0</v>
      </c>
      <c r="V195">
        <v>5</v>
      </c>
    </row>
    <row r="196" spans="1:22">
      <c r="A196" s="1" t="s">
        <v>242</v>
      </c>
      <c r="B196" s="1" t="s">
        <v>29</v>
      </c>
      <c r="C196" s="2">
        <v>46291</v>
      </c>
      <c r="D196" s="3">
        <v>0.59375</v>
      </c>
      <c r="E196">
        <v>113</v>
      </c>
      <c r="F196">
        <v>118</v>
      </c>
      <c r="G196">
        <v>6</v>
      </c>
      <c r="H196" s="1" t="s">
        <v>30</v>
      </c>
      <c r="I196">
        <v>32</v>
      </c>
      <c r="J196">
        <v>14</v>
      </c>
      <c r="K196" s="1" t="s">
        <v>31</v>
      </c>
      <c r="L196" s="1" t="s">
        <v>32</v>
      </c>
      <c r="M196">
        <v>1</v>
      </c>
      <c r="N196">
        <v>0</v>
      </c>
      <c r="O196" s="1" t="s">
        <v>27</v>
      </c>
      <c r="P196">
        <v>1</v>
      </c>
      <c r="Q196">
        <v>1</v>
      </c>
      <c r="R196">
        <v>3</v>
      </c>
      <c r="S196">
        <v>14</v>
      </c>
      <c r="T196">
        <v>0</v>
      </c>
      <c r="U196">
        <v>0</v>
      </c>
      <c r="V196">
        <v>3.53</v>
      </c>
    </row>
    <row r="197" spans="1:22">
      <c r="A197" s="1" t="s">
        <v>243</v>
      </c>
      <c r="B197" s="1" t="s">
        <v>59</v>
      </c>
      <c r="C197" s="2">
        <v>46279</v>
      </c>
      <c r="D197" s="3">
        <v>0.45833333333333331</v>
      </c>
      <c r="E197">
        <v>104</v>
      </c>
      <c r="F197">
        <v>96</v>
      </c>
      <c r="G197">
        <v>5</v>
      </c>
      <c r="H197" s="1" t="s">
        <v>60</v>
      </c>
      <c r="I197">
        <v>24.8</v>
      </c>
      <c r="J197">
        <v>28</v>
      </c>
      <c r="K197" s="1" t="s">
        <v>61</v>
      </c>
      <c r="L197" s="1" t="s">
        <v>65</v>
      </c>
      <c r="M197">
        <v>0</v>
      </c>
      <c r="N197">
        <v>0</v>
      </c>
      <c r="O197" s="1" t="s">
        <v>27</v>
      </c>
      <c r="P197">
        <v>1</v>
      </c>
      <c r="Q197">
        <v>1</v>
      </c>
      <c r="R197">
        <v>10</v>
      </c>
      <c r="S197">
        <v>11</v>
      </c>
      <c r="T197">
        <v>0</v>
      </c>
      <c r="U197">
        <v>0</v>
      </c>
      <c r="V197">
        <v>4.1900000000000004</v>
      </c>
    </row>
    <row r="198" spans="1:22">
      <c r="A198" s="1" t="s">
        <v>244</v>
      </c>
      <c r="B198" s="1" t="s">
        <v>29</v>
      </c>
      <c r="C198" s="2">
        <v>46276</v>
      </c>
      <c r="D198" s="3">
        <v>0.89583333333333337</v>
      </c>
      <c r="E198">
        <v>114</v>
      </c>
      <c r="F198">
        <v>118</v>
      </c>
      <c r="G198">
        <v>7</v>
      </c>
      <c r="H198" s="1" t="s">
        <v>30</v>
      </c>
      <c r="I198">
        <v>32</v>
      </c>
      <c r="J198">
        <v>14</v>
      </c>
      <c r="K198" s="1" t="s">
        <v>31</v>
      </c>
      <c r="L198" s="1" t="s">
        <v>49</v>
      </c>
      <c r="M198">
        <v>0</v>
      </c>
      <c r="N198">
        <v>0</v>
      </c>
      <c r="O198" s="1" t="s">
        <v>27</v>
      </c>
      <c r="P198">
        <v>1</v>
      </c>
      <c r="Q198">
        <v>1</v>
      </c>
      <c r="R198">
        <v>7</v>
      </c>
      <c r="S198">
        <v>21</v>
      </c>
      <c r="T198">
        <v>0</v>
      </c>
      <c r="U198">
        <v>0</v>
      </c>
      <c r="V198">
        <v>3.56</v>
      </c>
    </row>
    <row r="199" spans="1:22">
      <c r="A199" s="1" t="s">
        <v>245</v>
      </c>
      <c r="B199" s="1" t="s">
        <v>45</v>
      </c>
      <c r="C199" s="2">
        <v>46277</v>
      </c>
      <c r="D199" s="3">
        <v>0.48958333333333331</v>
      </c>
      <c r="E199">
        <v>61</v>
      </c>
      <c r="F199">
        <v>69</v>
      </c>
      <c r="G199">
        <v>4</v>
      </c>
      <c r="H199" s="1" t="s">
        <v>46</v>
      </c>
      <c r="I199">
        <v>18.5</v>
      </c>
      <c r="J199">
        <v>22</v>
      </c>
      <c r="K199" s="1" t="s">
        <v>47</v>
      </c>
      <c r="L199" s="1" t="s">
        <v>32</v>
      </c>
      <c r="M199">
        <v>1</v>
      </c>
      <c r="N199">
        <v>0</v>
      </c>
      <c r="O199" s="1" t="s">
        <v>40</v>
      </c>
      <c r="P199">
        <v>1</v>
      </c>
      <c r="Q199">
        <v>1</v>
      </c>
      <c r="R199">
        <v>4</v>
      </c>
      <c r="S199">
        <v>11</v>
      </c>
      <c r="T199">
        <v>0</v>
      </c>
      <c r="U199">
        <v>1</v>
      </c>
      <c r="V199">
        <v>3.3</v>
      </c>
    </row>
    <row r="200" spans="1:22">
      <c r="A200" s="1" t="s">
        <v>246</v>
      </c>
      <c r="B200" s="1" t="s">
        <v>45</v>
      </c>
      <c r="C200" s="2">
        <v>46291</v>
      </c>
      <c r="D200" s="3">
        <v>0.77083333333333337</v>
      </c>
      <c r="E200">
        <v>47</v>
      </c>
      <c r="F200">
        <v>48</v>
      </c>
      <c r="G200">
        <v>3</v>
      </c>
      <c r="H200" s="1" t="s">
        <v>46</v>
      </c>
      <c r="I200">
        <v>18.5</v>
      </c>
      <c r="J200">
        <v>22</v>
      </c>
      <c r="K200" s="1" t="s">
        <v>47</v>
      </c>
      <c r="L200" s="1" t="s">
        <v>32</v>
      </c>
      <c r="M200">
        <v>1</v>
      </c>
      <c r="N200">
        <v>0</v>
      </c>
      <c r="O200" s="1" t="s">
        <v>27</v>
      </c>
      <c r="P200">
        <v>1</v>
      </c>
      <c r="Q200">
        <v>1</v>
      </c>
      <c r="R200">
        <v>3</v>
      </c>
      <c r="S200">
        <v>18</v>
      </c>
      <c r="T200">
        <v>1</v>
      </c>
      <c r="U200">
        <v>0</v>
      </c>
      <c r="V200">
        <v>2.54</v>
      </c>
    </row>
    <row r="201" spans="1:22">
      <c r="A201" s="1" t="s">
        <v>247</v>
      </c>
      <c r="B201" s="1" t="s">
        <v>34</v>
      </c>
      <c r="C201" s="2">
        <v>46278</v>
      </c>
      <c r="D201" s="3">
        <v>0.34375</v>
      </c>
      <c r="E201">
        <v>126</v>
      </c>
      <c r="F201">
        <v>113</v>
      </c>
      <c r="G201">
        <v>4</v>
      </c>
      <c r="H201" s="1" t="s">
        <v>35</v>
      </c>
      <c r="I201">
        <v>12.2</v>
      </c>
      <c r="J201">
        <v>18</v>
      </c>
      <c r="K201" s="1" t="s">
        <v>36</v>
      </c>
      <c r="L201" s="1" t="s">
        <v>38</v>
      </c>
      <c r="M201">
        <v>1</v>
      </c>
      <c r="N201">
        <v>0</v>
      </c>
      <c r="O201" s="1" t="s">
        <v>27</v>
      </c>
      <c r="P201">
        <v>1</v>
      </c>
      <c r="Q201">
        <v>1</v>
      </c>
      <c r="R201">
        <v>0</v>
      </c>
      <c r="S201">
        <v>8</v>
      </c>
      <c r="T201">
        <v>1</v>
      </c>
      <c r="U201">
        <v>0</v>
      </c>
      <c r="V201">
        <v>10.33</v>
      </c>
    </row>
    <row r="202" spans="1:22">
      <c r="A202" s="1" t="s">
        <v>248</v>
      </c>
      <c r="B202" s="1" t="s">
        <v>59</v>
      </c>
      <c r="C202" s="2">
        <v>46273</v>
      </c>
      <c r="D202" s="3">
        <v>0.42708333333333331</v>
      </c>
      <c r="E202">
        <v>154</v>
      </c>
      <c r="F202">
        <v>159</v>
      </c>
      <c r="G202">
        <v>7</v>
      </c>
      <c r="H202" s="1" t="s">
        <v>60</v>
      </c>
      <c r="I202">
        <v>24.8</v>
      </c>
      <c r="J202">
        <v>28</v>
      </c>
      <c r="K202" s="1" t="s">
        <v>61</v>
      </c>
      <c r="L202" s="1" t="s">
        <v>26</v>
      </c>
      <c r="M202">
        <v>0</v>
      </c>
      <c r="N202">
        <v>0</v>
      </c>
      <c r="O202" s="1" t="s">
        <v>27</v>
      </c>
      <c r="P202">
        <v>1</v>
      </c>
      <c r="Q202">
        <v>1</v>
      </c>
      <c r="R202">
        <v>4</v>
      </c>
      <c r="S202">
        <v>10</v>
      </c>
      <c r="T202">
        <v>1</v>
      </c>
      <c r="U202">
        <v>0</v>
      </c>
      <c r="V202">
        <v>6.21</v>
      </c>
    </row>
    <row r="203" spans="1:22">
      <c r="A203" s="1" t="s">
        <v>249</v>
      </c>
      <c r="B203" s="1" t="s">
        <v>45</v>
      </c>
      <c r="C203" s="2">
        <v>46295</v>
      </c>
      <c r="D203" s="3">
        <v>0.45833333333333331</v>
      </c>
      <c r="E203">
        <v>128</v>
      </c>
      <c r="F203">
        <v>139</v>
      </c>
      <c r="G203">
        <v>3</v>
      </c>
      <c r="H203" s="1" t="s">
        <v>46</v>
      </c>
      <c r="I203">
        <v>18.5</v>
      </c>
      <c r="J203">
        <v>22</v>
      </c>
      <c r="K203" s="1" t="s">
        <v>47</v>
      </c>
      <c r="L203" s="1" t="s">
        <v>69</v>
      </c>
      <c r="M203">
        <v>0</v>
      </c>
      <c r="N203">
        <v>0</v>
      </c>
      <c r="O203" s="1" t="s">
        <v>27</v>
      </c>
      <c r="P203">
        <v>1</v>
      </c>
      <c r="Q203">
        <v>1</v>
      </c>
      <c r="R203">
        <v>4</v>
      </c>
      <c r="S203">
        <v>11</v>
      </c>
      <c r="T203">
        <v>0</v>
      </c>
      <c r="U203">
        <v>0</v>
      </c>
      <c r="V203">
        <v>6.92</v>
      </c>
    </row>
    <row r="204" spans="1:22">
      <c r="A204" s="1" t="s">
        <v>250</v>
      </c>
      <c r="B204" s="1" t="s">
        <v>34</v>
      </c>
      <c r="C204" s="2">
        <v>46283</v>
      </c>
      <c r="D204" s="3">
        <v>0.78125</v>
      </c>
      <c r="E204">
        <v>136</v>
      </c>
      <c r="F204">
        <v>125</v>
      </c>
      <c r="G204">
        <v>5</v>
      </c>
      <c r="H204" s="1" t="s">
        <v>35</v>
      </c>
      <c r="I204">
        <v>12.2</v>
      </c>
      <c r="J204">
        <v>18</v>
      </c>
      <c r="K204" s="1" t="s">
        <v>36</v>
      </c>
      <c r="L204" s="1" t="s">
        <v>49</v>
      </c>
      <c r="M204">
        <v>0</v>
      </c>
      <c r="N204">
        <v>0</v>
      </c>
      <c r="O204" s="1" t="s">
        <v>27</v>
      </c>
      <c r="P204">
        <v>1</v>
      </c>
      <c r="Q204">
        <v>1</v>
      </c>
      <c r="R204">
        <v>0</v>
      </c>
      <c r="S204">
        <v>18</v>
      </c>
      <c r="T204">
        <v>1</v>
      </c>
      <c r="U204">
        <v>0</v>
      </c>
      <c r="V204">
        <v>11.15</v>
      </c>
    </row>
    <row r="205" spans="1:22">
      <c r="A205" s="1" t="s">
        <v>251</v>
      </c>
      <c r="B205" s="1" t="s">
        <v>59</v>
      </c>
      <c r="C205" s="2">
        <v>46290</v>
      </c>
      <c r="D205" s="3">
        <v>0.5</v>
      </c>
      <c r="E205">
        <v>69</v>
      </c>
      <c r="F205">
        <v>63</v>
      </c>
      <c r="G205">
        <v>4</v>
      </c>
      <c r="H205" s="1" t="s">
        <v>60</v>
      </c>
      <c r="I205">
        <v>24.8</v>
      </c>
      <c r="J205">
        <v>28</v>
      </c>
      <c r="K205" s="1" t="s">
        <v>61</v>
      </c>
      <c r="L205" s="1" t="s">
        <v>49</v>
      </c>
      <c r="M205">
        <v>0</v>
      </c>
      <c r="N205">
        <v>0</v>
      </c>
      <c r="O205" s="1" t="s">
        <v>27</v>
      </c>
      <c r="P205">
        <v>1</v>
      </c>
      <c r="Q205">
        <v>1</v>
      </c>
      <c r="R205">
        <v>1</v>
      </c>
      <c r="S205">
        <v>12</v>
      </c>
      <c r="T205">
        <v>0</v>
      </c>
      <c r="U205">
        <v>0</v>
      </c>
      <c r="V205">
        <v>2.78</v>
      </c>
    </row>
    <row r="206" spans="1:22">
      <c r="A206" s="1" t="s">
        <v>252</v>
      </c>
      <c r="B206" s="1" t="s">
        <v>29</v>
      </c>
      <c r="C206" s="2">
        <v>46266</v>
      </c>
      <c r="D206" s="3">
        <v>0.23958333333333334</v>
      </c>
      <c r="E206">
        <v>40</v>
      </c>
      <c r="F206">
        <v>45</v>
      </c>
      <c r="G206">
        <v>3</v>
      </c>
      <c r="H206" s="1" t="s">
        <v>30</v>
      </c>
      <c r="I206">
        <v>32</v>
      </c>
      <c r="J206">
        <v>14</v>
      </c>
      <c r="K206" s="1" t="s">
        <v>31</v>
      </c>
      <c r="L206" s="1" t="s">
        <v>26</v>
      </c>
      <c r="M206">
        <v>0</v>
      </c>
      <c r="N206">
        <v>0</v>
      </c>
      <c r="O206" s="1" t="s">
        <v>27</v>
      </c>
      <c r="P206">
        <v>1</v>
      </c>
      <c r="Q206">
        <v>1</v>
      </c>
      <c r="R206">
        <v>10</v>
      </c>
      <c r="S206">
        <v>5</v>
      </c>
      <c r="T206">
        <v>0</v>
      </c>
      <c r="U206">
        <v>0</v>
      </c>
      <c r="V206">
        <v>1.25</v>
      </c>
    </row>
    <row r="207" spans="1:22">
      <c r="A207" s="1" t="s">
        <v>253</v>
      </c>
      <c r="B207" s="1" t="s">
        <v>29</v>
      </c>
      <c r="C207" s="2">
        <v>46280</v>
      </c>
      <c r="D207" s="3">
        <v>0.29166666666666669</v>
      </c>
      <c r="E207">
        <v>109</v>
      </c>
      <c r="F207">
        <v>100</v>
      </c>
      <c r="G207">
        <v>3</v>
      </c>
      <c r="H207" s="1" t="s">
        <v>30</v>
      </c>
      <c r="I207">
        <v>32</v>
      </c>
      <c r="J207">
        <v>14</v>
      </c>
      <c r="K207" s="1" t="s">
        <v>31</v>
      </c>
      <c r="L207" s="1" t="s">
        <v>26</v>
      </c>
      <c r="M207">
        <v>0</v>
      </c>
      <c r="N207">
        <v>0</v>
      </c>
      <c r="O207" s="1" t="s">
        <v>27</v>
      </c>
      <c r="P207">
        <v>1</v>
      </c>
      <c r="Q207">
        <v>1</v>
      </c>
      <c r="R207">
        <v>10</v>
      </c>
      <c r="S207">
        <v>7</v>
      </c>
      <c r="T207">
        <v>0</v>
      </c>
      <c r="U207">
        <v>0</v>
      </c>
      <c r="V207">
        <v>3.41</v>
      </c>
    </row>
    <row r="208" spans="1:22">
      <c r="A208" s="1" t="s">
        <v>254</v>
      </c>
      <c r="B208" s="1" t="s">
        <v>29</v>
      </c>
      <c r="C208" s="2">
        <v>46273</v>
      </c>
      <c r="D208" s="3">
        <v>0.5</v>
      </c>
      <c r="E208">
        <v>112</v>
      </c>
      <c r="F208">
        <v>117</v>
      </c>
      <c r="G208">
        <v>5</v>
      </c>
      <c r="H208" s="1" t="s">
        <v>30</v>
      </c>
      <c r="I208">
        <v>32</v>
      </c>
      <c r="J208">
        <v>14</v>
      </c>
      <c r="K208" s="1" t="s">
        <v>31</v>
      </c>
      <c r="L208" s="1" t="s">
        <v>26</v>
      </c>
      <c r="M208">
        <v>0</v>
      </c>
      <c r="N208">
        <v>0</v>
      </c>
      <c r="O208" s="1" t="s">
        <v>27</v>
      </c>
      <c r="P208">
        <v>1</v>
      </c>
      <c r="Q208">
        <v>1</v>
      </c>
      <c r="R208">
        <v>2</v>
      </c>
      <c r="S208">
        <v>12</v>
      </c>
      <c r="T208">
        <v>0</v>
      </c>
      <c r="U208">
        <v>0</v>
      </c>
      <c r="V208">
        <v>3.5</v>
      </c>
    </row>
    <row r="209" spans="1:22">
      <c r="A209" s="1" t="s">
        <v>255</v>
      </c>
      <c r="B209" s="1" t="s">
        <v>29</v>
      </c>
      <c r="C209" s="2">
        <v>46293</v>
      </c>
      <c r="D209" s="3">
        <v>0.41666666666666669</v>
      </c>
      <c r="E209">
        <v>86</v>
      </c>
      <c r="F209">
        <v>76</v>
      </c>
      <c r="G209">
        <v>5</v>
      </c>
      <c r="H209" s="1" t="s">
        <v>30</v>
      </c>
      <c r="I209">
        <v>32</v>
      </c>
      <c r="J209">
        <v>14</v>
      </c>
      <c r="K209" s="1" t="s">
        <v>31</v>
      </c>
      <c r="L209" s="1" t="s">
        <v>65</v>
      </c>
      <c r="M209">
        <v>0</v>
      </c>
      <c r="N209">
        <v>0</v>
      </c>
      <c r="O209" s="1" t="s">
        <v>27</v>
      </c>
      <c r="P209">
        <v>1</v>
      </c>
      <c r="Q209">
        <v>1</v>
      </c>
      <c r="R209">
        <v>0</v>
      </c>
      <c r="S209">
        <v>10</v>
      </c>
      <c r="T209">
        <v>1</v>
      </c>
      <c r="U209">
        <v>0</v>
      </c>
      <c r="V209">
        <v>2.69</v>
      </c>
    </row>
    <row r="210" spans="1:22">
      <c r="A210" s="1" t="s">
        <v>256</v>
      </c>
      <c r="B210" s="1" t="s">
        <v>29</v>
      </c>
      <c r="C210" s="2">
        <v>46276</v>
      </c>
      <c r="D210" s="3">
        <v>0.48958333333333331</v>
      </c>
      <c r="E210">
        <v>81</v>
      </c>
      <c r="F210">
        <v>77</v>
      </c>
      <c r="G210">
        <v>3</v>
      </c>
      <c r="H210" s="1" t="s">
        <v>30</v>
      </c>
      <c r="I210">
        <v>32</v>
      </c>
      <c r="J210">
        <v>14</v>
      </c>
      <c r="K210" s="1" t="s">
        <v>31</v>
      </c>
      <c r="L210" s="1" t="s">
        <v>49</v>
      </c>
      <c r="M210">
        <v>0</v>
      </c>
      <c r="N210">
        <v>0</v>
      </c>
      <c r="O210" s="1" t="s">
        <v>27</v>
      </c>
      <c r="P210">
        <v>1</v>
      </c>
      <c r="Q210">
        <v>1</v>
      </c>
      <c r="R210">
        <v>0</v>
      </c>
      <c r="S210">
        <v>11</v>
      </c>
      <c r="T210">
        <v>0</v>
      </c>
      <c r="U210">
        <v>0</v>
      </c>
      <c r="V210">
        <v>2.5299999999999998</v>
      </c>
    </row>
    <row r="211" spans="1:22">
      <c r="A211" s="1" t="s">
        <v>257</v>
      </c>
      <c r="B211" s="1" t="s">
        <v>59</v>
      </c>
      <c r="C211" s="2">
        <v>46277</v>
      </c>
      <c r="D211" s="3">
        <v>0.70833333333333337</v>
      </c>
      <c r="E211">
        <v>77</v>
      </c>
      <c r="F211">
        <v>78</v>
      </c>
      <c r="G211">
        <v>3</v>
      </c>
      <c r="H211" s="1" t="s">
        <v>60</v>
      </c>
      <c r="I211">
        <v>24.8</v>
      </c>
      <c r="J211">
        <v>28</v>
      </c>
      <c r="K211" s="1" t="s">
        <v>61</v>
      </c>
      <c r="L211" s="1" t="s">
        <v>32</v>
      </c>
      <c r="M211">
        <v>1</v>
      </c>
      <c r="N211">
        <v>0</v>
      </c>
      <c r="O211" s="1" t="s">
        <v>40</v>
      </c>
      <c r="P211">
        <v>1</v>
      </c>
      <c r="Q211">
        <v>1</v>
      </c>
      <c r="R211">
        <v>0</v>
      </c>
      <c r="S211">
        <v>17</v>
      </c>
      <c r="T211">
        <v>1</v>
      </c>
      <c r="U211">
        <v>1</v>
      </c>
      <c r="V211">
        <v>3.1</v>
      </c>
    </row>
    <row r="212" spans="1:22">
      <c r="A212" s="1" t="s">
        <v>258</v>
      </c>
      <c r="B212" s="1" t="s">
        <v>59</v>
      </c>
      <c r="C212" s="2">
        <v>46277</v>
      </c>
      <c r="D212" s="3">
        <v>0.28125</v>
      </c>
      <c r="E212">
        <v>37</v>
      </c>
      <c r="F212">
        <v>38</v>
      </c>
      <c r="G212">
        <v>3</v>
      </c>
      <c r="H212" s="1" t="s">
        <v>60</v>
      </c>
      <c r="I212">
        <v>24.8</v>
      </c>
      <c r="J212">
        <v>28</v>
      </c>
      <c r="K212" s="1" t="s">
        <v>61</v>
      </c>
      <c r="L212" s="1" t="s">
        <v>32</v>
      </c>
      <c r="M212">
        <v>1</v>
      </c>
      <c r="N212">
        <v>0</v>
      </c>
      <c r="O212" s="1" t="s">
        <v>40</v>
      </c>
      <c r="P212">
        <v>1</v>
      </c>
      <c r="Q212">
        <v>1</v>
      </c>
      <c r="R212">
        <v>0</v>
      </c>
      <c r="S212">
        <v>6</v>
      </c>
      <c r="T212">
        <v>0</v>
      </c>
      <c r="U212">
        <v>1</v>
      </c>
      <c r="V212">
        <v>1.49</v>
      </c>
    </row>
    <row r="213" spans="1:22">
      <c r="A213" s="1" t="s">
        <v>259</v>
      </c>
      <c r="B213" s="1" t="s">
        <v>29</v>
      </c>
      <c r="C213" s="2">
        <v>46269</v>
      </c>
      <c r="D213" s="3">
        <v>0.40625</v>
      </c>
      <c r="E213">
        <v>118</v>
      </c>
      <c r="F213">
        <v>108</v>
      </c>
      <c r="G213">
        <v>6</v>
      </c>
      <c r="H213" s="1" t="s">
        <v>30</v>
      </c>
      <c r="I213">
        <v>32</v>
      </c>
      <c r="J213">
        <v>14</v>
      </c>
      <c r="K213" s="1" t="s">
        <v>31</v>
      </c>
      <c r="L213" s="1" t="s">
        <v>49</v>
      </c>
      <c r="M213">
        <v>0</v>
      </c>
      <c r="N213">
        <v>0</v>
      </c>
      <c r="O213" s="1" t="s">
        <v>27</v>
      </c>
      <c r="P213">
        <v>1</v>
      </c>
      <c r="Q213">
        <v>1</v>
      </c>
      <c r="R213">
        <v>1</v>
      </c>
      <c r="S213">
        <v>9</v>
      </c>
      <c r="T213">
        <v>1</v>
      </c>
      <c r="U213">
        <v>0</v>
      </c>
      <c r="V213">
        <v>3.69</v>
      </c>
    </row>
    <row r="214" spans="1:22">
      <c r="A214" s="1" t="s">
        <v>260</v>
      </c>
      <c r="B214" s="1" t="s">
        <v>45</v>
      </c>
      <c r="C214" s="2">
        <v>46281</v>
      </c>
      <c r="D214" s="3">
        <v>0.51041666666666663</v>
      </c>
      <c r="E214">
        <v>163</v>
      </c>
      <c r="F214">
        <v>158</v>
      </c>
      <c r="G214">
        <v>7</v>
      </c>
      <c r="H214" s="1" t="s">
        <v>46</v>
      </c>
      <c r="I214">
        <v>18.5</v>
      </c>
      <c r="J214">
        <v>22</v>
      </c>
      <c r="K214" s="1" t="s">
        <v>47</v>
      </c>
      <c r="L214" s="1" t="s">
        <v>69</v>
      </c>
      <c r="M214">
        <v>0</v>
      </c>
      <c r="N214">
        <v>0</v>
      </c>
      <c r="O214" s="1" t="s">
        <v>27</v>
      </c>
      <c r="P214">
        <v>1</v>
      </c>
      <c r="Q214">
        <v>1</v>
      </c>
      <c r="R214">
        <v>1</v>
      </c>
      <c r="S214">
        <v>12</v>
      </c>
      <c r="T214">
        <v>0</v>
      </c>
      <c r="U214">
        <v>0</v>
      </c>
      <c r="V214">
        <v>8.81</v>
      </c>
    </row>
    <row r="215" spans="1:22">
      <c r="A215" s="1" t="s">
        <v>261</v>
      </c>
      <c r="B215" s="1" t="s">
        <v>23</v>
      </c>
      <c r="C215" s="2">
        <v>46269</v>
      </c>
      <c r="D215" s="3">
        <v>0.51041666666666663</v>
      </c>
      <c r="E215">
        <v>69</v>
      </c>
      <c r="F215">
        <v>71</v>
      </c>
      <c r="G215">
        <v>3</v>
      </c>
      <c r="H215" s="1" t="s">
        <v>24</v>
      </c>
      <c r="I215">
        <v>15</v>
      </c>
      <c r="J215">
        <v>16</v>
      </c>
      <c r="K215" s="1" t="s">
        <v>25</v>
      </c>
      <c r="L215" s="1" t="s">
        <v>49</v>
      </c>
      <c r="M215">
        <v>0</v>
      </c>
      <c r="N215">
        <v>0</v>
      </c>
      <c r="O215" s="1" t="s">
        <v>27</v>
      </c>
      <c r="P215">
        <v>1</v>
      </c>
      <c r="Q215">
        <v>1</v>
      </c>
      <c r="R215">
        <v>2</v>
      </c>
      <c r="S215">
        <v>12</v>
      </c>
      <c r="T215">
        <v>0</v>
      </c>
      <c r="U215">
        <v>0</v>
      </c>
      <c r="V215">
        <v>4.5999999999999996</v>
      </c>
    </row>
    <row r="216" spans="1:22">
      <c r="A216" s="1" t="s">
        <v>262</v>
      </c>
      <c r="B216" s="1" t="s">
        <v>29</v>
      </c>
      <c r="C216" s="2">
        <v>46270</v>
      </c>
      <c r="D216" s="3">
        <v>0.30208333333333331</v>
      </c>
      <c r="E216">
        <v>122</v>
      </c>
      <c r="F216">
        <v>109</v>
      </c>
      <c r="G216">
        <v>6</v>
      </c>
      <c r="H216" s="1" t="s">
        <v>30</v>
      </c>
      <c r="I216">
        <v>32</v>
      </c>
      <c r="J216">
        <v>14</v>
      </c>
      <c r="K216" s="1" t="s">
        <v>31</v>
      </c>
      <c r="L216" s="1" t="s">
        <v>32</v>
      </c>
      <c r="M216">
        <v>1</v>
      </c>
      <c r="N216">
        <v>1</v>
      </c>
      <c r="O216" s="1" t="s">
        <v>27</v>
      </c>
      <c r="P216">
        <v>1</v>
      </c>
      <c r="Q216">
        <v>1</v>
      </c>
      <c r="R216">
        <v>0</v>
      </c>
      <c r="S216">
        <v>7</v>
      </c>
      <c r="T216">
        <v>0</v>
      </c>
      <c r="U216">
        <v>0</v>
      </c>
      <c r="V216">
        <v>3.81</v>
      </c>
    </row>
    <row r="217" spans="1:22">
      <c r="A217" s="1" t="s">
        <v>263</v>
      </c>
      <c r="B217" s="1" t="s">
        <v>45</v>
      </c>
      <c r="C217" s="2">
        <v>46289</v>
      </c>
      <c r="D217" s="3">
        <v>0.66666666666666663</v>
      </c>
      <c r="E217">
        <v>157</v>
      </c>
      <c r="F217">
        <v>159</v>
      </c>
      <c r="G217">
        <v>6</v>
      </c>
      <c r="H217" s="1" t="s">
        <v>46</v>
      </c>
      <c r="I217">
        <v>18.5</v>
      </c>
      <c r="J217">
        <v>22</v>
      </c>
      <c r="K217" s="1" t="s">
        <v>47</v>
      </c>
      <c r="L217" s="1" t="s">
        <v>56</v>
      </c>
      <c r="M217">
        <v>0</v>
      </c>
      <c r="N217">
        <v>0</v>
      </c>
      <c r="O217" s="1" t="s">
        <v>27</v>
      </c>
      <c r="P217">
        <v>1</v>
      </c>
      <c r="Q217">
        <v>1</v>
      </c>
      <c r="R217">
        <v>0</v>
      </c>
      <c r="S217">
        <v>16</v>
      </c>
      <c r="T217">
        <v>0</v>
      </c>
      <c r="U217">
        <v>0</v>
      </c>
      <c r="V217">
        <v>8.49</v>
      </c>
    </row>
    <row r="218" spans="1:22">
      <c r="A218" s="1" t="s">
        <v>264</v>
      </c>
      <c r="B218" s="1" t="s">
        <v>23</v>
      </c>
      <c r="C218" s="2">
        <v>46270</v>
      </c>
      <c r="D218" s="3">
        <v>0.30208333333333331</v>
      </c>
      <c r="E218">
        <v>105</v>
      </c>
      <c r="F218">
        <v>107</v>
      </c>
      <c r="G218">
        <v>5</v>
      </c>
      <c r="H218" s="1" t="s">
        <v>24</v>
      </c>
      <c r="I218">
        <v>15</v>
      </c>
      <c r="J218">
        <v>16</v>
      </c>
      <c r="K218" s="1" t="s">
        <v>25</v>
      </c>
      <c r="L218" s="1" t="s">
        <v>32</v>
      </c>
      <c r="M218">
        <v>1</v>
      </c>
      <c r="N218">
        <v>1</v>
      </c>
      <c r="O218" s="1" t="s">
        <v>27</v>
      </c>
      <c r="P218">
        <v>1</v>
      </c>
      <c r="Q218">
        <v>1</v>
      </c>
      <c r="R218">
        <v>0</v>
      </c>
      <c r="S218">
        <v>7</v>
      </c>
      <c r="T218">
        <v>0</v>
      </c>
      <c r="U218">
        <v>0</v>
      </c>
      <c r="V218">
        <v>7</v>
      </c>
    </row>
    <row r="219" spans="1:22">
      <c r="A219" s="1" t="s">
        <v>265</v>
      </c>
      <c r="B219" s="1" t="s">
        <v>59</v>
      </c>
      <c r="C219" s="2">
        <v>46273</v>
      </c>
      <c r="D219" s="3">
        <v>0.42708333333333331</v>
      </c>
      <c r="E219">
        <v>227</v>
      </c>
      <c r="F219">
        <v>208</v>
      </c>
      <c r="G219">
        <v>7</v>
      </c>
      <c r="H219" s="1" t="s">
        <v>60</v>
      </c>
      <c r="I219">
        <v>24.8</v>
      </c>
      <c r="J219">
        <v>28</v>
      </c>
      <c r="K219" s="1" t="s">
        <v>61</v>
      </c>
      <c r="L219" s="1" t="s">
        <v>26</v>
      </c>
      <c r="M219">
        <v>0</v>
      </c>
      <c r="N219">
        <v>0</v>
      </c>
      <c r="O219" s="1" t="s">
        <v>27</v>
      </c>
      <c r="P219">
        <v>1</v>
      </c>
      <c r="Q219">
        <v>1</v>
      </c>
      <c r="R219">
        <v>0</v>
      </c>
      <c r="S219">
        <v>10</v>
      </c>
      <c r="T219">
        <v>1</v>
      </c>
      <c r="U219">
        <v>0</v>
      </c>
      <c r="V219">
        <v>9.15</v>
      </c>
    </row>
    <row r="220" spans="1:22">
      <c r="A220" s="1" t="s">
        <v>266</v>
      </c>
      <c r="B220" s="1" t="s">
        <v>45</v>
      </c>
      <c r="C220" s="2">
        <v>46275</v>
      </c>
      <c r="D220" s="3">
        <v>0.67708333333333337</v>
      </c>
      <c r="E220">
        <v>83</v>
      </c>
      <c r="F220">
        <v>83</v>
      </c>
      <c r="G220">
        <v>5</v>
      </c>
      <c r="H220" s="1" t="s">
        <v>46</v>
      </c>
      <c r="I220">
        <v>18.5</v>
      </c>
      <c r="J220">
        <v>22</v>
      </c>
      <c r="K220" s="1" t="s">
        <v>47</v>
      </c>
      <c r="L220" s="1" t="s">
        <v>56</v>
      </c>
      <c r="M220">
        <v>0</v>
      </c>
      <c r="N220">
        <v>0</v>
      </c>
      <c r="O220" s="1" t="s">
        <v>27</v>
      </c>
      <c r="P220">
        <v>1</v>
      </c>
      <c r="Q220">
        <v>1</v>
      </c>
      <c r="R220">
        <v>5</v>
      </c>
      <c r="S220">
        <v>16</v>
      </c>
      <c r="T220">
        <v>0</v>
      </c>
      <c r="U220">
        <v>0</v>
      </c>
      <c r="V220">
        <v>4.49</v>
      </c>
    </row>
    <row r="221" spans="1:22">
      <c r="A221" s="1" t="s">
        <v>267</v>
      </c>
      <c r="B221" s="1" t="s">
        <v>45</v>
      </c>
      <c r="C221" s="2">
        <v>46282</v>
      </c>
      <c r="D221" s="3">
        <v>0.41666666666666669</v>
      </c>
      <c r="E221">
        <v>95</v>
      </c>
      <c r="F221">
        <v>100</v>
      </c>
      <c r="G221">
        <v>5</v>
      </c>
      <c r="H221" s="1" t="s">
        <v>46</v>
      </c>
      <c r="I221">
        <v>18.5</v>
      </c>
      <c r="J221">
        <v>22</v>
      </c>
      <c r="K221" s="1" t="s">
        <v>47</v>
      </c>
      <c r="L221" s="1" t="s">
        <v>56</v>
      </c>
      <c r="M221">
        <v>0</v>
      </c>
      <c r="N221">
        <v>0</v>
      </c>
      <c r="O221" s="1" t="s">
        <v>27</v>
      </c>
      <c r="P221">
        <v>1</v>
      </c>
      <c r="Q221">
        <v>1</v>
      </c>
      <c r="R221">
        <v>3</v>
      </c>
      <c r="S221">
        <v>10</v>
      </c>
      <c r="T221">
        <v>1</v>
      </c>
      <c r="U221">
        <v>0</v>
      </c>
      <c r="V221">
        <v>5.14</v>
      </c>
    </row>
    <row r="222" spans="1:22">
      <c r="A222" s="1" t="s">
        <v>268</v>
      </c>
      <c r="B222" s="1" t="s">
        <v>45</v>
      </c>
      <c r="C222" s="2">
        <v>46293</v>
      </c>
      <c r="D222" s="3">
        <v>0.30208333333333331</v>
      </c>
      <c r="E222">
        <v>114</v>
      </c>
      <c r="F222">
        <v>120</v>
      </c>
      <c r="G222">
        <v>5</v>
      </c>
      <c r="H222" s="1" t="s">
        <v>46</v>
      </c>
      <c r="I222">
        <v>18.5</v>
      </c>
      <c r="J222">
        <v>22</v>
      </c>
      <c r="K222" s="1" t="s">
        <v>47</v>
      </c>
      <c r="L222" s="1" t="s">
        <v>65</v>
      </c>
      <c r="M222">
        <v>0</v>
      </c>
      <c r="N222">
        <v>0</v>
      </c>
      <c r="O222" s="1" t="s">
        <v>27</v>
      </c>
      <c r="P222">
        <v>1</v>
      </c>
      <c r="Q222">
        <v>1</v>
      </c>
      <c r="R222">
        <v>4</v>
      </c>
      <c r="S222">
        <v>7</v>
      </c>
      <c r="T222">
        <v>0</v>
      </c>
      <c r="U222">
        <v>0</v>
      </c>
      <c r="V222">
        <v>6.16</v>
      </c>
    </row>
    <row r="223" spans="1:22">
      <c r="A223" s="1" t="s">
        <v>269</v>
      </c>
      <c r="B223" s="1" t="s">
        <v>29</v>
      </c>
      <c r="C223" s="2">
        <v>46291</v>
      </c>
      <c r="D223" s="3">
        <v>0.51041666666666663</v>
      </c>
      <c r="E223">
        <v>146</v>
      </c>
      <c r="F223">
        <v>144</v>
      </c>
      <c r="G223">
        <v>5</v>
      </c>
      <c r="H223" s="1" t="s">
        <v>30</v>
      </c>
      <c r="I223">
        <v>32</v>
      </c>
      <c r="J223">
        <v>14</v>
      </c>
      <c r="K223" s="1" t="s">
        <v>31</v>
      </c>
      <c r="L223" s="1" t="s">
        <v>32</v>
      </c>
      <c r="M223">
        <v>1</v>
      </c>
      <c r="N223">
        <v>0</v>
      </c>
      <c r="O223" s="1" t="s">
        <v>27</v>
      </c>
      <c r="P223">
        <v>1</v>
      </c>
      <c r="Q223">
        <v>1</v>
      </c>
      <c r="R223">
        <v>0</v>
      </c>
      <c r="S223">
        <v>12</v>
      </c>
      <c r="T223">
        <v>0</v>
      </c>
      <c r="U223">
        <v>0</v>
      </c>
      <c r="V223">
        <v>4.5599999999999996</v>
      </c>
    </row>
    <row r="224" spans="1:22">
      <c r="A224" s="1" t="s">
        <v>270</v>
      </c>
      <c r="B224" s="1" t="s">
        <v>59</v>
      </c>
      <c r="C224" s="2">
        <v>46274</v>
      </c>
      <c r="D224" s="3">
        <v>0.67708333333333337</v>
      </c>
      <c r="E224">
        <v>27</v>
      </c>
      <c r="F224">
        <v>25</v>
      </c>
      <c r="G224">
        <v>4</v>
      </c>
      <c r="H224" s="1" t="s">
        <v>60</v>
      </c>
      <c r="I224">
        <v>24.8</v>
      </c>
      <c r="J224">
        <v>28</v>
      </c>
      <c r="K224" s="1" t="s">
        <v>61</v>
      </c>
      <c r="L224" s="1" t="s">
        <v>69</v>
      </c>
      <c r="M224">
        <v>0</v>
      </c>
      <c r="N224">
        <v>0</v>
      </c>
      <c r="O224" s="1" t="s">
        <v>27</v>
      </c>
      <c r="P224">
        <v>1</v>
      </c>
      <c r="Q224">
        <v>1</v>
      </c>
      <c r="R224">
        <v>12</v>
      </c>
      <c r="S224">
        <v>16</v>
      </c>
      <c r="T224">
        <v>0</v>
      </c>
      <c r="U224">
        <v>0</v>
      </c>
      <c r="V224">
        <v>1.0900000000000001</v>
      </c>
    </row>
    <row r="225" spans="1:22">
      <c r="A225" s="1" t="s">
        <v>271</v>
      </c>
      <c r="B225" s="1" t="s">
        <v>45</v>
      </c>
      <c r="C225" s="2">
        <v>46287</v>
      </c>
      <c r="D225" s="3">
        <v>0.33333333333333331</v>
      </c>
      <c r="E225">
        <v>56</v>
      </c>
      <c r="F225">
        <v>54</v>
      </c>
      <c r="G225">
        <v>3</v>
      </c>
      <c r="H225" s="1" t="s">
        <v>46</v>
      </c>
      <c r="I225">
        <v>18.5</v>
      </c>
      <c r="J225">
        <v>22</v>
      </c>
      <c r="K225" s="1" t="s">
        <v>47</v>
      </c>
      <c r="L225" s="1" t="s">
        <v>26</v>
      </c>
      <c r="M225">
        <v>0</v>
      </c>
      <c r="N225">
        <v>0</v>
      </c>
      <c r="O225" s="1" t="s">
        <v>27</v>
      </c>
      <c r="P225">
        <v>1</v>
      </c>
      <c r="Q225">
        <v>1</v>
      </c>
      <c r="R225">
        <v>5</v>
      </c>
      <c r="S225">
        <v>8</v>
      </c>
      <c r="T225">
        <v>1</v>
      </c>
      <c r="U225">
        <v>0</v>
      </c>
      <c r="V225">
        <v>3.03</v>
      </c>
    </row>
    <row r="226" spans="1:22">
      <c r="A226" s="1" t="s">
        <v>272</v>
      </c>
      <c r="B226" s="1" t="s">
        <v>29</v>
      </c>
      <c r="C226" s="2">
        <v>46284</v>
      </c>
      <c r="D226" s="3">
        <v>0.70833333333333337</v>
      </c>
      <c r="E226">
        <v>110</v>
      </c>
      <c r="F226">
        <v>114</v>
      </c>
      <c r="G226">
        <v>5</v>
      </c>
      <c r="H226" s="1" t="s">
        <v>30</v>
      </c>
      <c r="I226">
        <v>32</v>
      </c>
      <c r="J226">
        <v>14</v>
      </c>
      <c r="K226" s="1" t="s">
        <v>31</v>
      </c>
      <c r="L226" s="1" t="s">
        <v>32</v>
      </c>
      <c r="M226">
        <v>1</v>
      </c>
      <c r="N226">
        <v>1</v>
      </c>
      <c r="O226" s="1" t="s">
        <v>27</v>
      </c>
      <c r="P226">
        <v>1</v>
      </c>
      <c r="Q226">
        <v>1</v>
      </c>
      <c r="R226">
        <v>2</v>
      </c>
      <c r="S226">
        <v>17</v>
      </c>
      <c r="T226">
        <v>1</v>
      </c>
      <c r="U226">
        <v>0</v>
      </c>
      <c r="V226">
        <v>3.44</v>
      </c>
    </row>
    <row r="227" spans="1:22">
      <c r="A227" s="1" t="s">
        <v>273</v>
      </c>
      <c r="B227" s="1" t="s">
        <v>34</v>
      </c>
      <c r="C227" s="2">
        <v>46294</v>
      </c>
      <c r="D227" s="3">
        <v>0.79166666666666663</v>
      </c>
      <c r="E227">
        <v>162</v>
      </c>
      <c r="F227">
        <v>167</v>
      </c>
      <c r="G227">
        <v>4</v>
      </c>
      <c r="H227" s="1" t="s">
        <v>35</v>
      </c>
      <c r="I227">
        <v>12.2</v>
      </c>
      <c r="J227">
        <v>18</v>
      </c>
      <c r="K227" s="1" t="s">
        <v>36</v>
      </c>
      <c r="L227" s="1" t="s">
        <v>26</v>
      </c>
      <c r="M227">
        <v>0</v>
      </c>
      <c r="N227">
        <v>0</v>
      </c>
      <c r="O227" s="1" t="s">
        <v>27</v>
      </c>
      <c r="P227">
        <v>1</v>
      </c>
      <c r="Q227">
        <v>1</v>
      </c>
      <c r="R227">
        <v>4</v>
      </c>
      <c r="S227">
        <v>19</v>
      </c>
      <c r="T227">
        <v>1</v>
      </c>
      <c r="U227">
        <v>0</v>
      </c>
      <c r="V227">
        <v>13.28</v>
      </c>
    </row>
    <row r="228" spans="1:22">
      <c r="A228" s="1" t="s">
        <v>274</v>
      </c>
      <c r="B228" s="1" t="s">
        <v>45</v>
      </c>
      <c r="C228" s="2">
        <v>46279</v>
      </c>
      <c r="D228" s="3">
        <v>0.84375</v>
      </c>
      <c r="E228">
        <v>118</v>
      </c>
      <c r="F228">
        <v>127</v>
      </c>
      <c r="G228">
        <v>7</v>
      </c>
      <c r="H228" s="1" t="s">
        <v>46</v>
      </c>
      <c r="I228">
        <v>18.5</v>
      </c>
      <c r="J228">
        <v>22</v>
      </c>
      <c r="K228" s="1" t="s">
        <v>47</v>
      </c>
      <c r="L228" s="1" t="s">
        <v>65</v>
      </c>
      <c r="M228">
        <v>0</v>
      </c>
      <c r="N228">
        <v>0</v>
      </c>
      <c r="O228" s="1" t="s">
        <v>27</v>
      </c>
      <c r="P228">
        <v>1</v>
      </c>
      <c r="Q228">
        <v>1</v>
      </c>
      <c r="R228">
        <v>2</v>
      </c>
      <c r="S228">
        <v>20</v>
      </c>
      <c r="T228">
        <v>0</v>
      </c>
      <c r="U228">
        <v>0</v>
      </c>
      <c r="V228">
        <v>6.38</v>
      </c>
    </row>
    <row r="229" spans="1:22">
      <c r="A229" s="1" t="s">
        <v>275</v>
      </c>
      <c r="B229" s="1" t="s">
        <v>29</v>
      </c>
      <c r="C229" s="2">
        <v>46273</v>
      </c>
      <c r="D229" s="3">
        <v>0.86458333333333337</v>
      </c>
      <c r="E229">
        <v>47</v>
      </c>
      <c r="F229">
        <v>48</v>
      </c>
      <c r="G229">
        <v>4</v>
      </c>
      <c r="H229" s="1" t="s">
        <v>30</v>
      </c>
      <c r="I229">
        <v>32</v>
      </c>
      <c r="J229">
        <v>14</v>
      </c>
      <c r="K229" s="1" t="s">
        <v>31</v>
      </c>
      <c r="L229" s="1" t="s">
        <v>26</v>
      </c>
      <c r="M229">
        <v>0</v>
      </c>
      <c r="N229">
        <v>0</v>
      </c>
      <c r="O229" s="1" t="s">
        <v>27</v>
      </c>
      <c r="P229">
        <v>1</v>
      </c>
      <c r="Q229">
        <v>1</v>
      </c>
      <c r="R229">
        <v>25</v>
      </c>
      <c r="S229">
        <v>20</v>
      </c>
      <c r="T229">
        <v>0</v>
      </c>
      <c r="U229">
        <v>0</v>
      </c>
      <c r="V229">
        <v>1.47</v>
      </c>
    </row>
    <row r="230" spans="1:22">
      <c r="A230" s="1" t="s">
        <v>276</v>
      </c>
      <c r="B230" s="1" t="s">
        <v>23</v>
      </c>
      <c r="C230" s="2">
        <v>46274</v>
      </c>
      <c r="D230" s="3">
        <v>0.90625</v>
      </c>
      <c r="E230">
        <v>109</v>
      </c>
      <c r="F230">
        <v>101</v>
      </c>
      <c r="G230">
        <v>5</v>
      </c>
      <c r="H230" s="1" t="s">
        <v>24</v>
      </c>
      <c r="I230">
        <v>15</v>
      </c>
      <c r="J230">
        <v>16</v>
      </c>
      <c r="K230" s="1" t="s">
        <v>25</v>
      </c>
      <c r="L230" s="1" t="s">
        <v>69</v>
      </c>
      <c r="M230">
        <v>0</v>
      </c>
      <c r="N230">
        <v>0</v>
      </c>
      <c r="O230" s="1" t="s">
        <v>27</v>
      </c>
      <c r="P230">
        <v>1</v>
      </c>
      <c r="Q230">
        <v>1</v>
      </c>
      <c r="R230">
        <v>6</v>
      </c>
      <c r="S230">
        <v>21</v>
      </c>
      <c r="T230">
        <v>0</v>
      </c>
      <c r="U230">
        <v>0</v>
      </c>
      <c r="V230">
        <v>7.27</v>
      </c>
    </row>
    <row r="231" spans="1:22">
      <c r="A231" s="1" t="s">
        <v>277</v>
      </c>
      <c r="B231" s="1" t="s">
        <v>59</v>
      </c>
      <c r="C231" s="2">
        <v>46287</v>
      </c>
      <c r="D231" s="3">
        <v>0.69791666666666663</v>
      </c>
      <c r="E231">
        <v>201</v>
      </c>
      <c r="F231">
        <v>197</v>
      </c>
      <c r="G231">
        <v>7</v>
      </c>
      <c r="H231" s="1" t="s">
        <v>60</v>
      </c>
      <c r="I231">
        <v>24.8</v>
      </c>
      <c r="J231">
        <v>28</v>
      </c>
      <c r="K231" s="1" t="s">
        <v>61</v>
      </c>
      <c r="L231" s="1" t="s">
        <v>26</v>
      </c>
      <c r="M231">
        <v>0</v>
      </c>
      <c r="N231">
        <v>0</v>
      </c>
      <c r="O231" s="1" t="s">
        <v>27</v>
      </c>
      <c r="P231">
        <v>1</v>
      </c>
      <c r="Q231">
        <v>1</v>
      </c>
      <c r="R231">
        <v>0</v>
      </c>
      <c r="S231">
        <v>16</v>
      </c>
      <c r="T231">
        <v>0</v>
      </c>
      <c r="U231">
        <v>0</v>
      </c>
      <c r="V231">
        <v>8.1</v>
      </c>
    </row>
    <row r="232" spans="1:22">
      <c r="A232" s="1" t="s">
        <v>278</v>
      </c>
      <c r="B232" s="1" t="s">
        <v>29</v>
      </c>
      <c r="C232" s="2">
        <v>46276</v>
      </c>
      <c r="D232" s="3">
        <v>0.32291666666666669</v>
      </c>
      <c r="E232">
        <v>103</v>
      </c>
      <c r="F232">
        <v>105</v>
      </c>
      <c r="G232">
        <v>5</v>
      </c>
      <c r="H232" s="1" t="s">
        <v>30</v>
      </c>
      <c r="I232">
        <v>32</v>
      </c>
      <c r="J232">
        <v>14</v>
      </c>
      <c r="K232" s="1" t="s">
        <v>31</v>
      </c>
      <c r="L232" s="1" t="s">
        <v>49</v>
      </c>
      <c r="M232">
        <v>0</v>
      </c>
      <c r="N232">
        <v>0</v>
      </c>
      <c r="O232" s="1" t="s">
        <v>27</v>
      </c>
      <c r="P232">
        <v>1</v>
      </c>
      <c r="Q232">
        <v>1</v>
      </c>
      <c r="R232">
        <v>7</v>
      </c>
      <c r="S232">
        <v>7</v>
      </c>
      <c r="T232">
        <v>0</v>
      </c>
      <c r="U232">
        <v>0</v>
      </c>
      <c r="V232">
        <v>3.22</v>
      </c>
    </row>
    <row r="233" spans="1:22">
      <c r="A233" s="1" t="s">
        <v>279</v>
      </c>
      <c r="B233" s="1" t="s">
        <v>45</v>
      </c>
      <c r="C233" s="2">
        <v>46288</v>
      </c>
      <c r="D233" s="3">
        <v>0.72916666666666663</v>
      </c>
      <c r="E233">
        <v>139</v>
      </c>
      <c r="F233">
        <v>138</v>
      </c>
      <c r="G233">
        <v>5</v>
      </c>
      <c r="H233" s="1" t="s">
        <v>46</v>
      </c>
      <c r="I233">
        <v>18.5</v>
      </c>
      <c r="J233">
        <v>22</v>
      </c>
      <c r="K233" s="1" t="s">
        <v>47</v>
      </c>
      <c r="L233" s="1" t="s">
        <v>69</v>
      </c>
      <c r="M233">
        <v>0</v>
      </c>
      <c r="N233">
        <v>0</v>
      </c>
      <c r="O233" s="1" t="s">
        <v>27</v>
      </c>
      <c r="P233">
        <v>1</v>
      </c>
      <c r="Q233">
        <v>1</v>
      </c>
      <c r="R233">
        <v>4</v>
      </c>
      <c r="S233">
        <v>17</v>
      </c>
      <c r="T233">
        <v>1</v>
      </c>
      <c r="U233">
        <v>0</v>
      </c>
      <c r="V233">
        <v>7.51</v>
      </c>
    </row>
    <row r="234" spans="1:22">
      <c r="A234" s="1" t="s">
        <v>280</v>
      </c>
      <c r="B234" s="1" t="s">
        <v>59</v>
      </c>
      <c r="C234" s="2">
        <v>46266</v>
      </c>
      <c r="D234" s="3">
        <v>0.51041666666666663</v>
      </c>
      <c r="E234">
        <v>98</v>
      </c>
      <c r="F234">
        <v>96</v>
      </c>
      <c r="G234">
        <v>5</v>
      </c>
      <c r="H234" s="1" t="s">
        <v>60</v>
      </c>
      <c r="I234">
        <v>24.8</v>
      </c>
      <c r="J234">
        <v>28</v>
      </c>
      <c r="K234" s="1" t="s">
        <v>61</v>
      </c>
      <c r="L234" s="1" t="s">
        <v>26</v>
      </c>
      <c r="M234">
        <v>0</v>
      </c>
      <c r="N234">
        <v>0</v>
      </c>
      <c r="O234" s="1" t="s">
        <v>27</v>
      </c>
      <c r="P234">
        <v>1</v>
      </c>
      <c r="Q234">
        <v>1</v>
      </c>
      <c r="R234">
        <v>7</v>
      </c>
      <c r="S234">
        <v>12</v>
      </c>
      <c r="T234">
        <v>0</v>
      </c>
      <c r="U234">
        <v>0</v>
      </c>
      <c r="V234">
        <v>3.95</v>
      </c>
    </row>
    <row r="235" spans="1:22">
      <c r="A235" s="1" t="s">
        <v>281</v>
      </c>
      <c r="B235" s="1" t="s">
        <v>34</v>
      </c>
      <c r="C235" s="2">
        <v>46279</v>
      </c>
      <c r="D235" s="3">
        <v>0.40625</v>
      </c>
      <c r="E235">
        <v>104</v>
      </c>
      <c r="F235">
        <v>95</v>
      </c>
      <c r="G235">
        <v>5</v>
      </c>
      <c r="H235" s="1" t="s">
        <v>35</v>
      </c>
      <c r="I235">
        <v>12.2</v>
      </c>
      <c r="J235">
        <v>18</v>
      </c>
      <c r="K235" s="1" t="s">
        <v>36</v>
      </c>
      <c r="L235" s="1" t="s">
        <v>65</v>
      </c>
      <c r="M235">
        <v>0</v>
      </c>
      <c r="N235">
        <v>0</v>
      </c>
      <c r="O235" s="1" t="s">
        <v>27</v>
      </c>
      <c r="P235">
        <v>1</v>
      </c>
      <c r="Q235">
        <v>1</v>
      </c>
      <c r="R235">
        <v>4</v>
      </c>
      <c r="S235">
        <v>9</v>
      </c>
      <c r="T235">
        <v>1</v>
      </c>
      <c r="U235">
        <v>0</v>
      </c>
      <c r="V235">
        <v>8.52</v>
      </c>
    </row>
    <row r="236" spans="1:22">
      <c r="A236" s="1" t="s">
        <v>282</v>
      </c>
      <c r="B236" s="1" t="s">
        <v>45</v>
      </c>
      <c r="C236" s="2">
        <v>46270</v>
      </c>
      <c r="D236" s="3">
        <v>0.53125</v>
      </c>
      <c r="E236">
        <v>132</v>
      </c>
      <c r="F236">
        <v>131</v>
      </c>
      <c r="G236">
        <v>5</v>
      </c>
      <c r="H236" s="1" t="s">
        <v>46</v>
      </c>
      <c r="I236">
        <v>18.5</v>
      </c>
      <c r="J236">
        <v>22</v>
      </c>
      <c r="K236" s="1" t="s">
        <v>47</v>
      </c>
      <c r="L236" s="1" t="s">
        <v>32</v>
      </c>
      <c r="M236">
        <v>1</v>
      </c>
      <c r="N236">
        <v>1</v>
      </c>
      <c r="O236" s="1" t="s">
        <v>27</v>
      </c>
      <c r="P236">
        <v>1</v>
      </c>
      <c r="Q236">
        <v>1</v>
      </c>
      <c r="R236">
        <v>4</v>
      </c>
      <c r="S236">
        <v>12</v>
      </c>
      <c r="T236">
        <v>0</v>
      </c>
      <c r="U236">
        <v>0</v>
      </c>
      <c r="V236">
        <v>7.14</v>
      </c>
    </row>
    <row r="237" spans="1:22">
      <c r="A237" s="1" t="s">
        <v>283</v>
      </c>
      <c r="B237" s="1" t="s">
        <v>29</v>
      </c>
      <c r="C237" s="2">
        <v>46286</v>
      </c>
      <c r="D237" s="3">
        <v>0.66666666666666663</v>
      </c>
      <c r="E237">
        <v>179</v>
      </c>
      <c r="F237">
        <v>195</v>
      </c>
      <c r="G237">
        <v>6</v>
      </c>
      <c r="H237" s="1" t="s">
        <v>30</v>
      </c>
      <c r="I237">
        <v>32</v>
      </c>
      <c r="J237">
        <v>14</v>
      </c>
      <c r="K237" s="1" t="s">
        <v>31</v>
      </c>
      <c r="L237" s="1" t="s">
        <v>65</v>
      </c>
      <c r="M237">
        <v>0</v>
      </c>
      <c r="N237">
        <v>0</v>
      </c>
      <c r="O237" s="1" t="s">
        <v>27</v>
      </c>
      <c r="P237">
        <v>1</v>
      </c>
      <c r="Q237">
        <v>1</v>
      </c>
      <c r="R237">
        <v>11</v>
      </c>
      <c r="S237">
        <v>16</v>
      </c>
      <c r="T237">
        <v>0</v>
      </c>
      <c r="U237">
        <v>0</v>
      </c>
      <c r="V237">
        <v>5.59</v>
      </c>
    </row>
    <row r="238" spans="1:22">
      <c r="A238" s="1" t="s">
        <v>284</v>
      </c>
      <c r="B238" s="1" t="s">
        <v>45</v>
      </c>
      <c r="C238" s="2">
        <v>46291</v>
      </c>
      <c r="D238" s="3">
        <v>0.42708333333333331</v>
      </c>
      <c r="E238">
        <v>194</v>
      </c>
      <c r="F238">
        <v>192</v>
      </c>
      <c r="G238">
        <v>6</v>
      </c>
      <c r="H238" s="1" t="s">
        <v>46</v>
      </c>
      <c r="I238">
        <v>18.5</v>
      </c>
      <c r="J238">
        <v>22</v>
      </c>
      <c r="K238" s="1" t="s">
        <v>47</v>
      </c>
      <c r="L238" s="1" t="s">
        <v>32</v>
      </c>
      <c r="M238">
        <v>1</v>
      </c>
      <c r="N238">
        <v>0</v>
      </c>
      <c r="O238" s="1" t="s">
        <v>27</v>
      </c>
      <c r="P238">
        <v>1</v>
      </c>
      <c r="Q238">
        <v>1</v>
      </c>
      <c r="R238">
        <v>1</v>
      </c>
      <c r="S238">
        <v>10</v>
      </c>
      <c r="T238">
        <v>1</v>
      </c>
      <c r="U238">
        <v>0</v>
      </c>
      <c r="V238">
        <v>10.49</v>
      </c>
    </row>
    <row r="239" spans="1:22">
      <c r="A239" s="1" t="s">
        <v>285</v>
      </c>
      <c r="B239" s="1" t="s">
        <v>29</v>
      </c>
      <c r="C239" s="2">
        <v>46279</v>
      </c>
      <c r="D239" s="3">
        <v>0.94791666666666663</v>
      </c>
      <c r="E239">
        <v>113</v>
      </c>
      <c r="F239">
        <v>119</v>
      </c>
      <c r="G239">
        <v>7</v>
      </c>
      <c r="H239" s="1" t="s">
        <v>30</v>
      </c>
      <c r="I239">
        <v>32</v>
      </c>
      <c r="J239">
        <v>14</v>
      </c>
      <c r="K239" s="1" t="s">
        <v>31</v>
      </c>
      <c r="L239" s="1" t="s">
        <v>65</v>
      </c>
      <c r="M239">
        <v>0</v>
      </c>
      <c r="N239">
        <v>0</v>
      </c>
      <c r="O239" s="1" t="s">
        <v>27</v>
      </c>
      <c r="P239">
        <v>1</v>
      </c>
      <c r="Q239">
        <v>1</v>
      </c>
      <c r="R239">
        <v>8</v>
      </c>
      <c r="S239">
        <v>22</v>
      </c>
      <c r="T239">
        <v>0</v>
      </c>
      <c r="U239">
        <v>0</v>
      </c>
      <c r="V239">
        <v>3.53</v>
      </c>
    </row>
    <row r="240" spans="1:22">
      <c r="A240" s="1" t="s">
        <v>286</v>
      </c>
      <c r="B240" s="1" t="s">
        <v>23</v>
      </c>
      <c r="C240" s="2">
        <v>46269</v>
      </c>
      <c r="D240" s="3">
        <v>0.48958333333333331</v>
      </c>
      <c r="E240">
        <v>166</v>
      </c>
      <c r="F240">
        <v>169</v>
      </c>
      <c r="G240">
        <v>7</v>
      </c>
      <c r="H240" s="1" t="s">
        <v>24</v>
      </c>
      <c r="I240">
        <v>15</v>
      </c>
      <c r="J240">
        <v>16</v>
      </c>
      <c r="K240" s="1" t="s">
        <v>25</v>
      </c>
      <c r="L240" s="1" t="s">
        <v>49</v>
      </c>
      <c r="M240">
        <v>0</v>
      </c>
      <c r="N240">
        <v>0</v>
      </c>
      <c r="O240" s="1" t="s">
        <v>27</v>
      </c>
      <c r="P240">
        <v>1</v>
      </c>
      <c r="Q240">
        <v>1</v>
      </c>
      <c r="R240">
        <v>18</v>
      </c>
      <c r="S240">
        <v>11</v>
      </c>
      <c r="T240">
        <v>0</v>
      </c>
      <c r="U240">
        <v>0</v>
      </c>
      <c r="V240">
        <v>11.07</v>
      </c>
    </row>
    <row r="241" spans="1:22">
      <c r="A241" s="1" t="s">
        <v>287</v>
      </c>
      <c r="B241" s="1" t="s">
        <v>29</v>
      </c>
      <c r="C241" s="2">
        <v>46287</v>
      </c>
      <c r="D241" s="3">
        <v>0.20833333333333334</v>
      </c>
      <c r="E241">
        <v>129</v>
      </c>
      <c r="F241">
        <v>142</v>
      </c>
      <c r="G241">
        <v>5</v>
      </c>
      <c r="H241" s="1" t="s">
        <v>30</v>
      </c>
      <c r="I241">
        <v>32</v>
      </c>
      <c r="J241">
        <v>14</v>
      </c>
      <c r="K241" s="1" t="s">
        <v>31</v>
      </c>
      <c r="L241" s="1" t="s">
        <v>26</v>
      </c>
      <c r="M241">
        <v>0</v>
      </c>
      <c r="N241">
        <v>0</v>
      </c>
      <c r="O241" s="1" t="s">
        <v>27</v>
      </c>
      <c r="P241">
        <v>1</v>
      </c>
      <c r="Q241">
        <v>1</v>
      </c>
      <c r="R241">
        <v>6</v>
      </c>
      <c r="S241">
        <v>5</v>
      </c>
      <c r="T241">
        <v>0</v>
      </c>
      <c r="U241">
        <v>0</v>
      </c>
      <c r="V241">
        <v>4.03</v>
      </c>
    </row>
    <row r="242" spans="1:22">
      <c r="A242" s="1" t="s">
        <v>288</v>
      </c>
      <c r="B242" s="1" t="s">
        <v>59</v>
      </c>
      <c r="C242" s="2">
        <v>46288</v>
      </c>
      <c r="D242" s="3">
        <v>0.86458333333333337</v>
      </c>
      <c r="E242">
        <v>75</v>
      </c>
      <c r="F242">
        <v>77</v>
      </c>
      <c r="G242">
        <v>4</v>
      </c>
      <c r="H242" s="1" t="s">
        <v>60</v>
      </c>
      <c r="I242">
        <v>24.8</v>
      </c>
      <c r="J242">
        <v>28</v>
      </c>
      <c r="K242" s="1" t="s">
        <v>61</v>
      </c>
      <c r="L242" s="1" t="s">
        <v>69</v>
      </c>
      <c r="M242">
        <v>0</v>
      </c>
      <c r="N242">
        <v>0</v>
      </c>
      <c r="O242" s="1" t="s">
        <v>27</v>
      </c>
      <c r="P242">
        <v>1</v>
      </c>
      <c r="Q242">
        <v>1</v>
      </c>
      <c r="R242">
        <v>3</v>
      </c>
      <c r="S242">
        <v>20</v>
      </c>
      <c r="T242">
        <v>0</v>
      </c>
      <c r="U242">
        <v>0</v>
      </c>
      <c r="V242">
        <v>3.02</v>
      </c>
    </row>
    <row r="243" spans="1:22">
      <c r="A243" s="1" t="s">
        <v>289</v>
      </c>
      <c r="B243" s="1" t="s">
        <v>45</v>
      </c>
      <c r="C243" s="2">
        <v>46290</v>
      </c>
      <c r="D243" s="3">
        <v>0.44791666666666669</v>
      </c>
      <c r="E243">
        <v>44</v>
      </c>
      <c r="F243">
        <v>53</v>
      </c>
      <c r="G243">
        <v>5</v>
      </c>
      <c r="H243" s="1" t="s">
        <v>46</v>
      </c>
      <c r="I243">
        <v>18.5</v>
      </c>
      <c r="J243">
        <v>22</v>
      </c>
      <c r="K243" s="1" t="s">
        <v>47</v>
      </c>
      <c r="L243" s="1" t="s">
        <v>49</v>
      </c>
      <c r="M243">
        <v>0</v>
      </c>
      <c r="N243">
        <v>0</v>
      </c>
      <c r="O243" s="1" t="s">
        <v>27</v>
      </c>
      <c r="P243">
        <v>1</v>
      </c>
      <c r="Q243">
        <v>1</v>
      </c>
      <c r="R243">
        <v>2</v>
      </c>
      <c r="S243">
        <v>10</v>
      </c>
      <c r="T243">
        <v>1</v>
      </c>
      <c r="U243">
        <v>0</v>
      </c>
      <c r="V243">
        <v>2.38</v>
      </c>
    </row>
    <row r="244" spans="1:22">
      <c r="A244" s="1" t="s">
        <v>290</v>
      </c>
      <c r="B244" s="1" t="s">
        <v>29</v>
      </c>
      <c r="C244" s="2">
        <v>46266</v>
      </c>
      <c r="D244" s="3">
        <v>0.25</v>
      </c>
      <c r="E244">
        <v>104</v>
      </c>
      <c r="F244">
        <v>112</v>
      </c>
      <c r="G244">
        <v>6</v>
      </c>
      <c r="H244" s="1" t="s">
        <v>30</v>
      </c>
      <c r="I244">
        <v>32</v>
      </c>
      <c r="J244">
        <v>14</v>
      </c>
      <c r="K244" s="1" t="s">
        <v>31</v>
      </c>
      <c r="L244" s="1" t="s">
        <v>26</v>
      </c>
      <c r="M244">
        <v>0</v>
      </c>
      <c r="N244">
        <v>0</v>
      </c>
      <c r="O244" s="1" t="s">
        <v>27</v>
      </c>
      <c r="P244">
        <v>1</v>
      </c>
      <c r="Q244">
        <v>1</v>
      </c>
      <c r="R244">
        <v>6</v>
      </c>
      <c r="S244">
        <v>6</v>
      </c>
      <c r="T244">
        <v>0</v>
      </c>
      <c r="U244">
        <v>0</v>
      </c>
      <c r="V244">
        <v>3.25</v>
      </c>
    </row>
    <row r="245" spans="1:22">
      <c r="A245" s="1" t="s">
        <v>291</v>
      </c>
      <c r="B245" s="1" t="s">
        <v>45</v>
      </c>
      <c r="C245" s="2">
        <v>46287</v>
      </c>
      <c r="D245" s="3">
        <v>0.78125</v>
      </c>
      <c r="E245">
        <v>79</v>
      </c>
      <c r="F245">
        <v>76</v>
      </c>
      <c r="G245">
        <v>3</v>
      </c>
      <c r="H245" s="1" t="s">
        <v>46</v>
      </c>
      <c r="I245">
        <v>18.5</v>
      </c>
      <c r="J245">
        <v>22</v>
      </c>
      <c r="K245" s="1" t="s">
        <v>47</v>
      </c>
      <c r="L245" s="1" t="s">
        <v>26</v>
      </c>
      <c r="M245">
        <v>0</v>
      </c>
      <c r="N245">
        <v>0</v>
      </c>
      <c r="O245" s="1" t="s">
        <v>27</v>
      </c>
      <c r="P245">
        <v>1</v>
      </c>
      <c r="Q245">
        <v>1</v>
      </c>
      <c r="R245">
        <v>3</v>
      </c>
      <c r="S245">
        <v>18</v>
      </c>
      <c r="T245">
        <v>1</v>
      </c>
      <c r="U245">
        <v>0</v>
      </c>
      <c r="V245">
        <v>4.2699999999999996</v>
      </c>
    </row>
    <row r="246" spans="1:22">
      <c r="A246" s="1" t="s">
        <v>292</v>
      </c>
      <c r="B246" s="1" t="s">
        <v>59</v>
      </c>
      <c r="C246" s="2">
        <v>46288</v>
      </c>
      <c r="D246" s="3">
        <v>0.22916666666666666</v>
      </c>
      <c r="E246">
        <v>94</v>
      </c>
      <c r="F246">
        <v>85</v>
      </c>
      <c r="G246">
        <v>3</v>
      </c>
      <c r="H246" s="1" t="s">
        <v>60</v>
      </c>
      <c r="I246">
        <v>24.8</v>
      </c>
      <c r="J246">
        <v>28</v>
      </c>
      <c r="K246" s="1" t="s">
        <v>61</v>
      </c>
      <c r="L246" s="1" t="s">
        <v>69</v>
      </c>
      <c r="M246">
        <v>0</v>
      </c>
      <c r="N246">
        <v>0</v>
      </c>
      <c r="O246" s="1" t="s">
        <v>27</v>
      </c>
      <c r="P246">
        <v>1</v>
      </c>
      <c r="Q246">
        <v>1</v>
      </c>
      <c r="R246">
        <v>4</v>
      </c>
      <c r="S246">
        <v>5</v>
      </c>
      <c r="T246">
        <v>0</v>
      </c>
      <c r="U246">
        <v>0</v>
      </c>
      <c r="V246">
        <v>3.79</v>
      </c>
    </row>
    <row r="247" spans="1:22">
      <c r="A247" s="1" t="s">
        <v>293</v>
      </c>
      <c r="B247" s="1" t="s">
        <v>45</v>
      </c>
      <c r="C247" s="2">
        <v>46284</v>
      </c>
      <c r="D247" s="3">
        <v>0.91666666666666663</v>
      </c>
      <c r="E247">
        <v>145</v>
      </c>
      <c r="F247">
        <v>133</v>
      </c>
      <c r="G247">
        <v>7</v>
      </c>
      <c r="H247" s="1" t="s">
        <v>46</v>
      </c>
      <c r="I247">
        <v>18.5</v>
      </c>
      <c r="J247">
        <v>22</v>
      </c>
      <c r="K247" s="1" t="s">
        <v>47</v>
      </c>
      <c r="L247" s="1" t="s">
        <v>32</v>
      </c>
      <c r="M247">
        <v>1</v>
      </c>
      <c r="N247">
        <v>1</v>
      </c>
      <c r="O247" s="1" t="s">
        <v>27</v>
      </c>
      <c r="P247">
        <v>1</v>
      </c>
      <c r="Q247">
        <v>1</v>
      </c>
      <c r="R247">
        <v>4</v>
      </c>
      <c r="S247">
        <v>22</v>
      </c>
      <c r="T247">
        <v>0</v>
      </c>
      <c r="U247">
        <v>0</v>
      </c>
      <c r="V247">
        <v>7.84</v>
      </c>
    </row>
    <row r="248" spans="1:22">
      <c r="A248" s="1" t="s">
        <v>294</v>
      </c>
      <c r="B248" s="1" t="s">
        <v>45</v>
      </c>
      <c r="C248" s="2">
        <v>46273</v>
      </c>
      <c r="D248" s="3">
        <v>0.25</v>
      </c>
      <c r="E248">
        <v>123</v>
      </c>
      <c r="F248">
        <v>120</v>
      </c>
      <c r="G248">
        <v>6</v>
      </c>
      <c r="H248" s="1" t="s">
        <v>46</v>
      </c>
      <c r="I248">
        <v>18.5</v>
      </c>
      <c r="J248">
        <v>22</v>
      </c>
      <c r="K248" s="1" t="s">
        <v>47</v>
      </c>
      <c r="L248" s="1" t="s">
        <v>26</v>
      </c>
      <c r="M248">
        <v>0</v>
      </c>
      <c r="N248">
        <v>0</v>
      </c>
      <c r="O248" s="1" t="s">
        <v>27</v>
      </c>
      <c r="P248">
        <v>1</v>
      </c>
      <c r="Q248">
        <v>1</v>
      </c>
      <c r="R248">
        <v>3</v>
      </c>
      <c r="S248">
        <v>6</v>
      </c>
      <c r="T248">
        <v>0</v>
      </c>
      <c r="U248">
        <v>0</v>
      </c>
      <c r="V248">
        <v>6.65</v>
      </c>
    </row>
    <row r="249" spans="1:22">
      <c r="A249" s="1" t="s">
        <v>295</v>
      </c>
      <c r="B249" s="1" t="s">
        <v>29</v>
      </c>
      <c r="C249" s="2">
        <v>46280</v>
      </c>
      <c r="D249" s="3">
        <v>0.27083333333333331</v>
      </c>
      <c r="E249">
        <v>197</v>
      </c>
      <c r="F249">
        <v>187</v>
      </c>
      <c r="G249">
        <v>5</v>
      </c>
      <c r="H249" s="1" t="s">
        <v>30</v>
      </c>
      <c r="I249">
        <v>32</v>
      </c>
      <c r="J249">
        <v>14</v>
      </c>
      <c r="K249" s="1" t="s">
        <v>31</v>
      </c>
      <c r="L249" s="1" t="s">
        <v>26</v>
      </c>
      <c r="M249">
        <v>0</v>
      </c>
      <c r="N249">
        <v>0</v>
      </c>
      <c r="O249" s="1" t="s">
        <v>27</v>
      </c>
      <c r="P249">
        <v>1</v>
      </c>
      <c r="Q249">
        <v>1</v>
      </c>
      <c r="R249">
        <v>4</v>
      </c>
      <c r="S249">
        <v>6</v>
      </c>
      <c r="T249">
        <v>0</v>
      </c>
      <c r="U249">
        <v>0</v>
      </c>
      <c r="V249">
        <v>6.16</v>
      </c>
    </row>
    <row r="250" spans="1:22">
      <c r="A250" s="1" t="s">
        <v>296</v>
      </c>
      <c r="B250" s="1" t="s">
        <v>29</v>
      </c>
      <c r="C250" s="2">
        <v>46286</v>
      </c>
      <c r="D250" s="3">
        <v>0.54166666666666663</v>
      </c>
      <c r="E250">
        <v>176</v>
      </c>
      <c r="F250">
        <v>160</v>
      </c>
      <c r="G250">
        <v>7</v>
      </c>
      <c r="H250" s="1" t="s">
        <v>30</v>
      </c>
      <c r="I250">
        <v>32</v>
      </c>
      <c r="J250">
        <v>14</v>
      </c>
      <c r="K250" s="1" t="s">
        <v>31</v>
      </c>
      <c r="L250" s="1" t="s">
        <v>65</v>
      </c>
      <c r="M250">
        <v>0</v>
      </c>
      <c r="N250">
        <v>0</v>
      </c>
      <c r="O250" s="1" t="s">
        <v>27</v>
      </c>
      <c r="P250">
        <v>1</v>
      </c>
      <c r="Q250">
        <v>1</v>
      </c>
      <c r="R250">
        <v>1</v>
      </c>
      <c r="S250">
        <v>13</v>
      </c>
      <c r="T250">
        <v>0</v>
      </c>
      <c r="U250">
        <v>0</v>
      </c>
      <c r="V250">
        <v>5.5</v>
      </c>
    </row>
    <row r="251" spans="1:22">
      <c r="A251" s="1" t="s">
        <v>297</v>
      </c>
      <c r="B251" s="1" t="s">
        <v>59</v>
      </c>
      <c r="C251" s="2">
        <v>46280</v>
      </c>
      <c r="D251" s="3">
        <v>0.64583333333333337</v>
      </c>
      <c r="E251">
        <v>146</v>
      </c>
      <c r="F251">
        <v>152</v>
      </c>
      <c r="G251">
        <v>7</v>
      </c>
      <c r="H251" s="1" t="s">
        <v>60</v>
      </c>
      <c r="I251">
        <v>24.8</v>
      </c>
      <c r="J251">
        <v>28</v>
      </c>
      <c r="K251" s="1" t="s">
        <v>61</v>
      </c>
      <c r="L251" s="1" t="s">
        <v>26</v>
      </c>
      <c r="M251">
        <v>0</v>
      </c>
      <c r="N251">
        <v>0</v>
      </c>
      <c r="O251" s="1" t="s">
        <v>27</v>
      </c>
      <c r="P251">
        <v>1</v>
      </c>
      <c r="Q251">
        <v>1</v>
      </c>
      <c r="R251">
        <v>2</v>
      </c>
      <c r="S251">
        <v>15</v>
      </c>
      <c r="T251">
        <v>0</v>
      </c>
      <c r="U251">
        <v>0</v>
      </c>
      <c r="V251">
        <v>5.89</v>
      </c>
    </row>
    <row r="252" spans="1:22">
      <c r="A252" s="1" t="s">
        <v>298</v>
      </c>
      <c r="B252" s="1" t="s">
        <v>23</v>
      </c>
      <c r="C252" s="2">
        <v>46274</v>
      </c>
      <c r="D252" s="3">
        <v>0.34375</v>
      </c>
      <c r="E252">
        <v>50</v>
      </c>
      <c r="F252">
        <v>54</v>
      </c>
      <c r="G252">
        <v>3</v>
      </c>
      <c r="H252" s="1" t="s">
        <v>24</v>
      </c>
      <c r="I252">
        <v>15</v>
      </c>
      <c r="J252">
        <v>16</v>
      </c>
      <c r="K252" s="1" t="s">
        <v>25</v>
      </c>
      <c r="L252" s="1" t="s">
        <v>69</v>
      </c>
      <c r="M252">
        <v>0</v>
      </c>
      <c r="N252">
        <v>0</v>
      </c>
      <c r="O252" s="1" t="s">
        <v>27</v>
      </c>
      <c r="P252">
        <v>1</v>
      </c>
      <c r="Q252">
        <v>1</v>
      </c>
      <c r="R252">
        <v>4</v>
      </c>
      <c r="S252">
        <v>8</v>
      </c>
      <c r="T252">
        <v>1</v>
      </c>
      <c r="U252">
        <v>0</v>
      </c>
      <c r="V252">
        <v>3.33</v>
      </c>
    </row>
    <row r="253" spans="1:22">
      <c r="A253" s="1" t="s">
        <v>299</v>
      </c>
      <c r="B253" s="1" t="s">
        <v>45</v>
      </c>
      <c r="C253" s="2">
        <v>46286</v>
      </c>
      <c r="D253" s="3">
        <v>0.4375</v>
      </c>
      <c r="E253">
        <v>114</v>
      </c>
      <c r="F253">
        <v>110</v>
      </c>
      <c r="G253">
        <v>4</v>
      </c>
      <c r="H253" s="1" t="s">
        <v>46</v>
      </c>
      <c r="I253">
        <v>18.5</v>
      </c>
      <c r="J253">
        <v>22</v>
      </c>
      <c r="K253" s="1" t="s">
        <v>47</v>
      </c>
      <c r="L253" s="1" t="s">
        <v>65</v>
      </c>
      <c r="M253">
        <v>0</v>
      </c>
      <c r="N253">
        <v>0</v>
      </c>
      <c r="O253" s="1" t="s">
        <v>27</v>
      </c>
      <c r="P253">
        <v>1</v>
      </c>
      <c r="Q253">
        <v>1</v>
      </c>
      <c r="R253">
        <v>0</v>
      </c>
      <c r="S253">
        <v>10</v>
      </c>
      <c r="T253">
        <v>1</v>
      </c>
      <c r="U253">
        <v>0</v>
      </c>
      <c r="V253">
        <v>6.16</v>
      </c>
    </row>
    <row r="254" spans="1:22">
      <c r="A254" s="1" t="s">
        <v>300</v>
      </c>
      <c r="B254" s="1" t="s">
        <v>29</v>
      </c>
      <c r="C254" s="2">
        <v>46274</v>
      </c>
      <c r="D254" s="3">
        <v>0.64583333333333337</v>
      </c>
      <c r="E254">
        <v>64</v>
      </c>
      <c r="F254">
        <v>73</v>
      </c>
      <c r="G254">
        <v>4</v>
      </c>
      <c r="H254" s="1" t="s">
        <v>30</v>
      </c>
      <c r="I254">
        <v>32</v>
      </c>
      <c r="J254">
        <v>14</v>
      </c>
      <c r="K254" s="1" t="s">
        <v>31</v>
      </c>
      <c r="L254" s="1" t="s">
        <v>69</v>
      </c>
      <c r="M254">
        <v>0</v>
      </c>
      <c r="N254">
        <v>0</v>
      </c>
      <c r="O254" s="1" t="s">
        <v>27</v>
      </c>
      <c r="P254">
        <v>1</v>
      </c>
      <c r="Q254">
        <v>1</v>
      </c>
      <c r="R254">
        <v>7</v>
      </c>
      <c r="S254">
        <v>15</v>
      </c>
      <c r="T254">
        <v>0</v>
      </c>
      <c r="U254">
        <v>0</v>
      </c>
      <c r="V254">
        <v>2</v>
      </c>
    </row>
    <row r="255" spans="1:22">
      <c r="A255" s="1" t="s">
        <v>301</v>
      </c>
      <c r="B255" s="1" t="s">
        <v>45</v>
      </c>
      <c r="C255" s="2">
        <v>46275</v>
      </c>
      <c r="D255" s="3">
        <v>0.40625</v>
      </c>
      <c r="E255">
        <v>32</v>
      </c>
      <c r="F255">
        <v>26</v>
      </c>
      <c r="G255">
        <v>2</v>
      </c>
      <c r="H255" s="1" t="s">
        <v>46</v>
      </c>
      <c r="I255">
        <v>18.5</v>
      </c>
      <c r="J255">
        <v>22</v>
      </c>
      <c r="K255" s="1" t="s">
        <v>47</v>
      </c>
      <c r="L255" s="1" t="s">
        <v>56</v>
      </c>
      <c r="M255">
        <v>0</v>
      </c>
      <c r="N255">
        <v>0</v>
      </c>
      <c r="O255" s="1" t="s">
        <v>27</v>
      </c>
      <c r="P255">
        <v>1</v>
      </c>
      <c r="Q255">
        <v>1</v>
      </c>
      <c r="R255">
        <v>19</v>
      </c>
      <c r="S255">
        <v>9</v>
      </c>
      <c r="T255">
        <v>1</v>
      </c>
      <c r="U255">
        <v>0</v>
      </c>
      <c r="V255">
        <v>1.73</v>
      </c>
    </row>
    <row r="256" spans="1:22">
      <c r="A256" s="1" t="s">
        <v>302</v>
      </c>
      <c r="B256" s="1" t="s">
        <v>34</v>
      </c>
      <c r="C256" s="2">
        <v>46285</v>
      </c>
      <c r="D256" s="3">
        <v>0.61458333333333337</v>
      </c>
      <c r="E256">
        <v>83</v>
      </c>
      <c r="F256">
        <v>88</v>
      </c>
      <c r="G256">
        <v>6</v>
      </c>
      <c r="H256" s="1" t="s">
        <v>35</v>
      </c>
      <c r="I256">
        <v>12.2</v>
      </c>
      <c r="J256">
        <v>18</v>
      </c>
      <c r="K256" s="1" t="s">
        <v>36</v>
      </c>
      <c r="L256" s="1" t="s">
        <v>38</v>
      </c>
      <c r="M256">
        <v>1</v>
      </c>
      <c r="N256">
        <v>0</v>
      </c>
      <c r="O256" s="1" t="s">
        <v>52</v>
      </c>
      <c r="P256">
        <v>1</v>
      </c>
      <c r="Q256">
        <v>1</v>
      </c>
      <c r="R256">
        <v>24</v>
      </c>
      <c r="S256">
        <v>14</v>
      </c>
      <c r="T256">
        <v>0</v>
      </c>
      <c r="U256">
        <v>1</v>
      </c>
      <c r="V256">
        <v>6.8</v>
      </c>
    </row>
    <row r="257" spans="1:22">
      <c r="A257" s="1" t="s">
        <v>303</v>
      </c>
      <c r="B257" s="1" t="s">
        <v>45</v>
      </c>
      <c r="C257" s="2">
        <v>46290</v>
      </c>
      <c r="D257" s="3">
        <v>0.79166666666666663</v>
      </c>
      <c r="E257">
        <v>152</v>
      </c>
      <c r="F257">
        <v>157</v>
      </c>
      <c r="G257">
        <v>3</v>
      </c>
      <c r="H257" s="1" t="s">
        <v>46</v>
      </c>
      <c r="I257">
        <v>18.5</v>
      </c>
      <c r="J257">
        <v>22</v>
      </c>
      <c r="K257" s="1" t="s">
        <v>47</v>
      </c>
      <c r="L257" s="1" t="s">
        <v>49</v>
      </c>
      <c r="M257">
        <v>0</v>
      </c>
      <c r="N257">
        <v>0</v>
      </c>
      <c r="O257" s="1" t="s">
        <v>27</v>
      </c>
      <c r="P257">
        <v>1</v>
      </c>
      <c r="Q257">
        <v>1</v>
      </c>
      <c r="R257">
        <v>0</v>
      </c>
      <c r="S257">
        <v>19</v>
      </c>
      <c r="T257">
        <v>1</v>
      </c>
      <c r="U257">
        <v>0</v>
      </c>
      <c r="V257">
        <v>8.2200000000000006</v>
      </c>
    </row>
    <row r="258" spans="1:22">
      <c r="A258" s="1" t="s">
        <v>304</v>
      </c>
      <c r="B258" s="1" t="s">
        <v>45</v>
      </c>
      <c r="C258" s="2">
        <v>46286</v>
      </c>
      <c r="D258" s="3">
        <v>0.59375</v>
      </c>
      <c r="E258">
        <v>130</v>
      </c>
      <c r="F258">
        <v>129</v>
      </c>
      <c r="G258">
        <v>7</v>
      </c>
      <c r="H258" s="1" t="s">
        <v>46</v>
      </c>
      <c r="I258">
        <v>18.5</v>
      </c>
      <c r="J258">
        <v>22</v>
      </c>
      <c r="K258" s="1" t="s">
        <v>47</v>
      </c>
      <c r="L258" s="1" t="s">
        <v>65</v>
      </c>
      <c r="M258">
        <v>0</v>
      </c>
      <c r="N258">
        <v>0</v>
      </c>
      <c r="O258" s="1" t="s">
        <v>27</v>
      </c>
      <c r="P258">
        <v>1</v>
      </c>
      <c r="Q258">
        <v>1</v>
      </c>
      <c r="R258">
        <v>13</v>
      </c>
      <c r="S258">
        <v>14</v>
      </c>
      <c r="T258">
        <v>0</v>
      </c>
      <c r="U258">
        <v>0</v>
      </c>
      <c r="V258">
        <v>7.03</v>
      </c>
    </row>
    <row r="259" spans="1:22">
      <c r="A259" s="1" t="s">
        <v>305</v>
      </c>
      <c r="B259" s="1" t="s">
        <v>29</v>
      </c>
      <c r="C259" s="2">
        <v>46291</v>
      </c>
      <c r="D259" s="3">
        <v>0.91666666666666663</v>
      </c>
      <c r="E259">
        <v>120</v>
      </c>
      <c r="F259">
        <v>113</v>
      </c>
      <c r="G259">
        <v>4</v>
      </c>
      <c r="H259" s="1" t="s">
        <v>30</v>
      </c>
      <c r="I259">
        <v>32</v>
      </c>
      <c r="J259">
        <v>14</v>
      </c>
      <c r="K259" s="1" t="s">
        <v>31</v>
      </c>
      <c r="L259" s="1" t="s">
        <v>32</v>
      </c>
      <c r="M259">
        <v>1</v>
      </c>
      <c r="N259">
        <v>0</v>
      </c>
      <c r="O259" s="1" t="s">
        <v>27</v>
      </c>
      <c r="P259">
        <v>1</v>
      </c>
      <c r="Q259">
        <v>1</v>
      </c>
      <c r="R259">
        <v>0</v>
      </c>
      <c r="S259">
        <v>22</v>
      </c>
      <c r="T259">
        <v>0</v>
      </c>
      <c r="U259">
        <v>0</v>
      </c>
      <c r="V259">
        <v>3.75</v>
      </c>
    </row>
    <row r="260" spans="1:22">
      <c r="A260" s="1" t="s">
        <v>306</v>
      </c>
      <c r="B260" s="1" t="s">
        <v>45</v>
      </c>
      <c r="C260" s="2">
        <v>46274</v>
      </c>
      <c r="D260" s="3">
        <v>0.30208333333333331</v>
      </c>
      <c r="E260">
        <v>159</v>
      </c>
      <c r="F260">
        <v>166</v>
      </c>
      <c r="G260">
        <v>5</v>
      </c>
      <c r="H260" s="1" t="s">
        <v>46</v>
      </c>
      <c r="I260">
        <v>18.5</v>
      </c>
      <c r="J260">
        <v>22</v>
      </c>
      <c r="K260" s="1" t="s">
        <v>47</v>
      </c>
      <c r="L260" s="1" t="s">
        <v>69</v>
      </c>
      <c r="M260">
        <v>0</v>
      </c>
      <c r="N260">
        <v>0</v>
      </c>
      <c r="O260" s="1" t="s">
        <v>27</v>
      </c>
      <c r="P260">
        <v>1</v>
      </c>
      <c r="Q260">
        <v>1</v>
      </c>
      <c r="R260">
        <v>2</v>
      </c>
      <c r="S260">
        <v>7</v>
      </c>
      <c r="T260">
        <v>0</v>
      </c>
      <c r="U260">
        <v>0</v>
      </c>
      <c r="V260">
        <v>8.59</v>
      </c>
    </row>
    <row r="261" spans="1:22">
      <c r="A261" s="1" t="s">
        <v>307</v>
      </c>
      <c r="B261" s="1" t="s">
        <v>45</v>
      </c>
      <c r="C261" s="2">
        <v>46268</v>
      </c>
      <c r="D261" s="3">
        <v>0.59375</v>
      </c>
      <c r="E261">
        <v>155</v>
      </c>
      <c r="F261">
        <v>149</v>
      </c>
      <c r="G261">
        <v>4</v>
      </c>
      <c r="H261" s="1" t="s">
        <v>46</v>
      </c>
      <c r="I261">
        <v>18.5</v>
      </c>
      <c r="J261">
        <v>22</v>
      </c>
      <c r="K261" s="1" t="s">
        <v>47</v>
      </c>
      <c r="L261" s="1" t="s">
        <v>56</v>
      </c>
      <c r="M261">
        <v>0</v>
      </c>
      <c r="N261">
        <v>0</v>
      </c>
      <c r="O261" s="1" t="s">
        <v>27</v>
      </c>
      <c r="P261">
        <v>1</v>
      </c>
      <c r="Q261">
        <v>0</v>
      </c>
      <c r="R261">
        <v>2</v>
      </c>
      <c r="S261">
        <v>14</v>
      </c>
      <c r="T261">
        <v>0</v>
      </c>
      <c r="U261">
        <v>0</v>
      </c>
      <c r="V261">
        <v>8.3800000000000008</v>
      </c>
    </row>
    <row r="262" spans="1:22">
      <c r="A262" s="1" t="s">
        <v>308</v>
      </c>
      <c r="B262" s="1" t="s">
        <v>45</v>
      </c>
      <c r="C262" s="2">
        <v>46285</v>
      </c>
      <c r="D262" s="3">
        <v>0.76041666666666663</v>
      </c>
      <c r="E262">
        <v>103</v>
      </c>
      <c r="F262">
        <v>98</v>
      </c>
      <c r="G262">
        <v>3</v>
      </c>
      <c r="H262" s="1" t="s">
        <v>46</v>
      </c>
      <c r="I262">
        <v>18.5</v>
      </c>
      <c r="J262">
        <v>22</v>
      </c>
      <c r="K262" s="1" t="s">
        <v>47</v>
      </c>
      <c r="L262" s="1" t="s">
        <v>38</v>
      </c>
      <c r="M262">
        <v>1</v>
      </c>
      <c r="N262">
        <v>0</v>
      </c>
      <c r="O262" s="1" t="s">
        <v>52</v>
      </c>
      <c r="P262">
        <v>1</v>
      </c>
      <c r="Q262">
        <v>1</v>
      </c>
      <c r="R262">
        <v>5</v>
      </c>
      <c r="S262">
        <v>18</v>
      </c>
      <c r="T262">
        <v>1</v>
      </c>
      <c r="U262">
        <v>1</v>
      </c>
      <c r="V262">
        <v>5.57</v>
      </c>
    </row>
    <row r="263" spans="1:22">
      <c r="A263" s="1" t="s">
        <v>309</v>
      </c>
      <c r="B263" s="1" t="s">
        <v>29</v>
      </c>
      <c r="C263" s="2">
        <v>46290</v>
      </c>
      <c r="D263" s="3">
        <v>0.32291666666666669</v>
      </c>
      <c r="E263">
        <v>77</v>
      </c>
      <c r="F263">
        <v>78</v>
      </c>
      <c r="G263">
        <v>3</v>
      </c>
      <c r="H263" s="1" t="s">
        <v>30</v>
      </c>
      <c r="I263">
        <v>32</v>
      </c>
      <c r="J263">
        <v>14</v>
      </c>
      <c r="K263" s="1" t="s">
        <v>31</v>
      </c>
      <c r="L263" s="1" t="s">
        <v>49</v>
      </c>
      <c r="M263">
        <v>0</v>
      </c>
      <c r="N263">
        <v>0</v>
      </c>
      <c r="O263" s="1" t="s">
        <v>27</v>
      </c>
      <c r="P263">
        <v>1</v>
      </c>
      <c r="Q263">
        <v>1</v>
      </c>
      <c r="R263">
        <v>4</v>
      </c>
      <c r="S263">
        <v>7</v>
      </c>
      <c r="T263">
        <v>0</v>
      </c>
      <c r="U263">
        <v>0</v>
      </c>
      <c r="V263">
        <v>2.41</v>
      </c>
    </row>
    <row r="264" spans="1:22">
      <c r="A264" s="1" t="s">
        <v>310</v>
      </c>
      <c r="B264" s="1" t="s">
        <v>59</v>
      </c>
      <c r="C264" s="2">
        <v>46291</v>
      </c>
      <c r="D264" s="3">
        <v>0.48958333333333331</v>
      </c>
      <c r="E264">
        <v>82</v>
      </c>
      <c r="F264">
        <v>80</v>
      </c>
      <c r="G264">
        <v>2</v>
      </c>
      <c r="H264" s="1" t="s">
        <v>60</v>
      </c>
      <c r="I264">
        <v>24.8</v>
      </c>
      <c r="J264">
        <v>28</v>
      </c>
      <c r="K264" s="1" t="s">
        <v>61</v>
      </c>
      <c r="L264" s="1" t="s">
        <v>32</v>
      </c>
      <c r="M264">
        <v>1</v>
      </c>
      <c r="N264">
        <v>0</v>
      </c>
      <c r="O264" s="1" t="s">
        <v>27</v>
      </c>
      <c r="P264">
        <v>1</v>
      </c>
      <c r="Q264">
        <v>1</v>
      </c>
      <c r="R264">
        <v>33</v>
      </c>
      <c r="S264">
        <v>11</v>
      </c>
      <c r="T264">
        <v>0</v>
      </c>
      <c r="U264">
        <v>0</v>
      </c>
      <c r="V264">
        <v>3.31</v>
      </c>
    </row>
    <row r="265" spans="1:22">
      <c r="A265" s="1" t="s">
        <v>311</v>
      </c>
      <c r="B265" s="1" t="s">
        <v>23</v>
      </c>
      <c r="C265" s="2">
        <v>46276</v>
      </c>
      <c r="D265" s="3">
        <v>0.75</v>
      </c>
      <c r="E265">
        <v>85</v>
      </c>
      <c r="F265">
        <v>90</v>
      </c>
      <c r="G265">
        <v>5</v>
      </c>
      <c r="H265" s="1" t="s">
        <v>24</v>
      </c>
      <c r="I265">
        <v>15</v>
      </c>
      <c r="J265">
        <v>16</v>
      </c>
      <c r="K265" s="1" t="s">
        <v>25</v>
      </c>
      <c r="L265" s="1" t="s">
        <v>49</v>
      </c>
      <c r="M265">
        <v>0</v>
      </c>
      <c r="N265">
        <v>0</v>
      </c>
      <c r="O265" s="1" t="s">
        <v>27</v>
      </c>
      <c r="P265">
        <v>1</v>
      </c>
      <c r="Q265">
        <v>1</v>
      </c>
      <c r="R265">
        <v>3</v>
      </c>
      <c r="S265">
        <v>18</v>
      </c>
      <c r="T265">
        <v>1</v>
      </c>
      <c r="U265">
        <v>0</v>
      </c>
      <c r="V265">
        <v>5.67</v>
      </c>
    </row>
    <row r="266" spans="1:22">
      <c r="A266" s="1" t="s">
        <v>312</v>
      </c>
      <c r="B266" s="1" t="s">
        <v>34</v>
      </c>
      <c r="C266" s="2">
        <v>46271</v>
      </c>
      <c r="D266" s="3">
        <v>0.79166666666666663</v>
      </c>
      <c r="E266">
        <v>109</v>
      </c>
      <c r="F266">
        <v>102</v>
      </c>
      <c r="G266">
        <v>5</v>
      </c>
      <c r="H266" s="1" t="s">
        <v>35</v>
      </c>
      <c r="I266">
        <v>12.2</v>
      </c>
      <c r="J266">
        <v>18</v>
      </c>
      <c r="K266" s="1" t="s">
        <v>36</v>
      </c>
      <c r="L266" s="1" t="s">
        <v>38</v>
      </c>
      <c r="M266">
        <v>1</v>
      </c>
      <c r="N266">
        <v>0</v>
      </c>
      <c r="O266" s="1" t="s">
        <v>27</v>
      </c>
      <c r="P266">
        <v>1</v>
      </c>
      <c r="Q266">
        <v>1</v>
      </c>
      <c r="R266">
        <v>0</v>
      </c>
      <c r="S266">
        <v>19</v>
      </c>
      <c r="T266">
        <v>1</v>
      </c>
      <c r="U266">
        <v>0</v>
      </c>
      <c r="V266">
        <v>8.93</v>
      </c>
    </row>
    <row r="267" spans="1:22">
      <c r="A267" s="1" t="s">
        <v>313</v>
      </c>
      <c r="B267" s="1" t="s">
        <v>45</v>
      </c>
      <c r="C267" s="2">
        <v>46267</v>
      </c>
      <c r="D267" s="3">
        <v>0.30208333333333331</v>
      </c>
      <c r="E267">
        <v>50</v>
      </c>
      <c r="F267">
        <v>49</v>
      </c>
      <c r="G267">
        <v>4</v>
      </c>
      <c r="H267" s="1" t="s">
        <v>46</v>
      </c>
      <c r="I267">
        <v>18.5</v>
      </c>
      <c r="J267">
        <v>22</v>
      </c>
      <c r="K267" s="1" t="s">
        <v>47</v>
      </c>
      <c r="L267" s="1" t="s">
        <v>69</v>
      </c>
      <c r="M267">
        <v>0</v>
      </c>
      <c r="N267">
        <v>0</v>
      </c>
      <c r="O267" s="1" t="s">
        <v>27</v>
      </c>
      <c r="P267">
        <v>1</v>
      </c>
      <c r="Q267">
        <v>1</v>
      </c>
      <c r="R267">
        <v>0</v>
      </c>
      <c r="S267">
        <v>7</v>
      </c>
      <c r="T267">
        <v>0</v>
      </c>
      <c r="U267">
        <v>0</v>
      </c>
      <c r="V267">
        <v>2.7</v>
      </c>
    </row>
    <row r="268" spans="1:22">
      <c r="A268" s="1" t="s">
        <v>314</v>
      </c>
      <c r="B268" s="1" t="s">
        <v>45</v>
      </c>
      <c r="C268" s="2">
        <v>46272</v>
      </c>
      <c r="D268" s="3">
        <v>0.27083333333333331</v>
      </c>
      <c r="E268">
        <v>18</v>
      </c>
      <c r="F268">
        <v>19</v>
      </c>
      <c r="G268">
        <v>3</v>
      </c>
      <c r="H268" s="1" t="s">
        <v>46</v>
      </c>
      <c r="I268">
        <v>18.5</v>
      </c>
      <c r="J268">
        <v>22</v>
      </c>
      <c r="K268" s="1" t="s">
        <v>47</v>
      </c>
      <c r="L268" s="1" t="s">
        <v>65</v>
      </c>
      <c r="M268">
        <v>0</v>
      </c>
      <c r="N268">
        <v>0</v>
      </c>
      <c r="O268" s="1" t="s">
        <v>27</v>
      </c>
      <c r="P268">
        <v>1</v>
      </c>
      <c r="Q268">
        <v>1</v>
      </c>
      <c r="R268">
        <v>0</v>
      </c>
      <c r="S268">
        <v>6</v>
      </c>
      <c r="T268">
        <v>0</v>
      </c>
      <c r="U268">
        <v>0</v>
      </c>
      <c r="V268">
        <v>0.97</v>
      </c>
    </row>
    <row r="269" spans="1:22">
      <c r="A269" s="1" t="s">
        <v>315</v>
      </c>
      <c r="B269" s="1" t="s">
        <v>29</v>
      </c>
      <c r="C269" s="2">
        <v>46283</v>
      </c>
      <c r="D269" s="3">
        <v>0.92708333333333337</v>
      </c>
      <c r="E269">
        <v>131</v>
      </c>
      <c r="F269">
        <v>127</v>
      </c>
      <c r="G269">
        <v>5</v>
      </c>
      <c r="H269" s="1" t="s">
        <v>30</v>
      </c>
      <c r="I269">
        <v>32</v>
      </c>
      <c r="J269">
        <v>14</v>
      </c>
      <c r="K269" s="1" t="s">
        <v>31</v>
      </c>
      <c r="L269" s="1" t="s">
        <v>49</v>
      </c>
      <c r="M269">
        <v>0</v>
      </c>
      <c r="N269">
        <v>0</v>
      </c>
      <c r="O269" s="1" t="s">
        <v>27</v>
      </c>
      <c r="P269">
        <v>1</v>
      </c>
      <c r="Q269">
        <v>1</v>
      </c>
      <c r="R269">
        <v>4</v>
      </c>
      <c r="S269">
        <v>22</v>
      </c>
      <c r="T269">
        <v>0</v>
      </c>
      <c r="U269">
        <v>0</v>
      </c>
      <c r="V269">
        <v>4.09</v>
      </c>
    </row>
    <row r="270" spans="1:22">
      <c r="A270" s="1" t="s">
        <v>316</v>
      </c>
      <c r="B270" s="1" t="s">
        <v>59</v>
      </c>
      <c r="C270" s="2">
        <v>46292</v>
      </c>
      <c r="D270" s="3">
        <v>0.94791666666666663</v>
      </c>
      <c r="E270">
        <v>176</v>
      </c>
      <c r="F270">
        <v>176</v>
      </c>
      <c r="G270">
        <v>5</v>
      </c>
      <c r="H270" s="1" t="s">
        <v>60</v>
      </c>
      <c r="I270">
        <v>24.8</v>
      </c>
      <c r="J270">
        <v>28</v>
      </c>
      <c r="K270" s="1" t="s">
        <v>61</v>
      </c>
      <c r="L270" s="1" t="s">
        <v>38</v>
      </c>
      <c r="M270">
        <v>1</v>
      </c>
      <c r="N270">
        <v>0</v>
      </c>
      <c r="O270" s="1" t="s">
        <v>134</v>
      </c>
      <c r="P270">
        <v>1</v>
      </c>
      <c r="Q270">
        <v>1</v>
      </c>
      <c r="R270">
        <v>9</v>
      </c>
      <c r="S270">
        <v>22</v>
      </c>
      <c r="T270">
        <v>0</v>
      </c>
      <c r="U270">
        <v>1</v>
      </c>
      <c r="V270">
        <v>7.1</v>
      </c>
    </row>
    <row r="271" spans="1:22">
      <c r="A271" s="1" t="s">
        <v>317</v>
      </c>
      <c r="B271" s="1" t="s">
        <v>45</v>
      </c>
      <c r="C271" s="2">
        <v>46267</v>
      </c>
      <c r="D271" s="3">
        <v>0.58333333333333337</v>
      </c>
      <c r="E271">
        <v>58</v>
      </c>
      <c r="F271">
        <v>55</v>
      </c>
      <c r="G271">
        <v>3</v>
      </c>
      <c r="H271" s="1" t="s">
        <v>46</v>
      </c>
      <c r="I271">
        <v>18.5</v>
      </c>
      <c r="J271">
        <v>22</v>
      </c>
      <c r="K271" s="1" t="s">
        <v>47</v>
      </c>
      <c r="L271" s="1" t="s">
        <v>69</v>
      </c>
      <c r="M271">
        <v>0</v>
      </c>
      <c r="N271">
        <v>0</v>
      </c>
      <c r="O271" s="1" t="s">
        <v>27</v>
      </c>
      <c r="P271">
        <v>1</v>
      </c>
      <c r="Q271">
        <v>1</v>
      </c>
      <c r="R271">
        <v>6</v>
      </c>
      <c r="S271">
        <v>14</v>
      </c>
      <c r="T271">
        <v>0</v>
      </c>
      <c r="U271">
        <v>0</v>
      </c>
      <c r="V271">
        <v>3.14</v>
      </c>
    </row>
    <row r="272" spans="1:22">
      <c r="A272" s="1" t="s">
        <v>318</v>
      </c>
      <c r="B272" s="1" t="s">
        <v>34</v>
      </c>
      <c r="C272" s="2">
        <v>46292</v>
      </c>
      <c r="D272" s="3">
        <v>0.25</v>
      </c>
      <c r="E272">
        <v>80</v>
      </c>
      <c r="F272">
        <v>78</v>
      </c>
      <c r="G272">
        <v>3</v>
      </c>
      <c r="H272" s="1" t="s">
        <v>35</v>
      </c>
      <c r="I272">
        <v>12.2</v>
      </c>
      <c r="J272">
        <v>18</v>
      </c>
      <c r="K272" s="1" t="s">
        <v>36</v>
      </c>
      <c r="L272" s="1" t="s">
        <v>38</v>
      </c>
      <c r="M272">
        <v>1</v>
      </c>
      <c r="N272">
        <v>0</v>
      </c>
      <c r="O272" s="1" t="s">
        <v>134</v>
      </c>
      <c r="P272">
        <v>1</v>
      </c>
      <c r="Q272">
        <v>1</v>
      </c>
      <c r="R272">
        <v>10</v>
      </c>
      <c r="S272">
        <v>6</v>
      </c>
      <c r="T272">
        <v>0</v>
      </c>
      <c r="U272">
        <v>1</v>
      </c>
      <c r="V272">
        <v>6.56</v>
      </c>
    </row>
    <row r="273" spans="1:22">
      <c r="A273" s="1" t="s">
        <v>319</v>
      </c>
      <c r="B273" s="1" t="s">
        <v>29</v>
      </c>
      <c r="C273" s="2">
        <v>46282</v>
      </c>
      <c r="D273" s="3">
        <v>0.23958333333333334</v>
      </c>
      <c r="E273">
        <v>67</v>
      </c>
      <c r="F273">
        <v>69</v>
      </c>
      <c r="G273">
        <v>7</v>
      </c>
      <c r="H273" s="1" t="s">
        <v>30</v>
      </c>
      <c r="I273">
        <v>32</v>
      </c>
      <c r="J273">
        <v>14</v>
      </c>
      <c r="K273" s="1" t="s">
        <v>31</v>
      </c>
      <c r="L273" s="1" t="s">
        <v>56</v>
      </c>
      <c r="M273">
        <v>0</v>
      </c>
      <c r="N273">
        <v>0</v>
      </c>
      <c r="O273" s="1" t="s">
        <v>27</v>
      </c>
      <c r="P273">
        <v>1</v>
      </c>
      <c r="Q273">
        <v>1</v>
      </c>
      <c r="R273">
        <v>11</v>
      </c>
      <c r="S273">
        <v>5</v>
      </c>
      <c r="T273">
        <v>0</v>
      </c>
      <c r="U273">
        <v>0</v>
      </c>
      <c r="V273">
        <v>2.09</v>
      </c>
    </row>
    <row r="274" spans="1:22">
      <c r="A274" s="1" t="s">
        <v>320</v>
      </c>
      <c r="B274" s="1" t="s">
        <v>45</v>
      </c>
      <c r="C274" s="2">
        <v>46276</v>
      </c>
      <c r="D274" s="3">
        <v>0.75</v>
      </c>
      <c r="E274">
        <v>61</v>
      </c>
      <c r="F274">
        <v>62</v>
      </c>
      <c r="G274">
        <v>3</v>
      </c>
      <c r="H274" s="1" t="s">
        <v>46</v>
      </c>
      <c r="I274">
        <v>18.5</v>
      </c>
      <c r="J274">
        <v>22</v>
      </c>
      <c r="K274" s="1" t="s">
        <v>47</v>
      </c>
      <c r="L274" s="1" t="s">
        <v>49</v>
      </c>
      <c r="M274">
        <v>0</v>
      </c>
      <c r="N274">
        <v>0</v>
      </c>
      <c r="O274" s="1" t="s">
        <v>27</v>
      </c>
      <c r="P274">
        <v>1</v>
      </c>
      <c r="Q274">
        <v>1</v>
      </c>
      <c r="R274">
        <v>1</v>
      </c>
      <c r="S274">
        <v>18</v>
      </c>
      <c r="T274">
        <v>1</v>
      </c>
      <c r="U274">
        <v>0</v>
      </c>
      <c r="V274">
        <v>3.3</v>
      </c>
    </row>
    <row r="275" spans="1:22">
      <c r="A275" s="1" t="s">
        <v>321</v>
      </c>
      <c r="B275" s="1" t="s">
        <v>59</v>
      </c>
      <c r="C275" s="2">
        <v>46292</v>
      </c>
      <c r="D275" s="3">
        <v>0.78125</v>
      </c>
      <c r="E275">
        <v>121</v>
      </c>
      <c r="F275">
        <v>110</v>
      </c>
      <c r="G275">
        <v>5</v>
      </c>
      <c r="H275" s="1" t="s">
        <v>60</v>
      </c>
      <c r="I275">
        <v>24.8</v>
      </c>
      <c r="J275">
        <v>28</v>
      </c>
      <c r="K275" s="1" t="s">
        <v>61</v>
      </c>
      <c r="L275" s="1" t="s">
        <v>38</v>
      </c>
      <c r="M275">
        <v>1</v>
      </c>
      <c r="N275">
        <v>0</v>
      </c>
      <c r="O275" s="1" t="s">
        <v>134</v>
      </c>
      <c r="P275">
        <v>1</v>
      </c>
      <c r="Q275">
        <v>1</v>
      </c>
      <c r="R275">
        <v>5</v>
      </c>
      <c r="S275">
        <v>18</v>
      </c>
      <c r="T275">
        <v>1</v>
      </c>
      <c r="U275">
        <v>1</v>
      </c>
      <c r="V275">
        <v>4.88</v>
      </c>
    </row>
    <row r="276" spans="1:22">
      <c r="A276" s="1" t="s">
        <v>322</v>
      </c>
      <c r="B276" s="1" t="s">
        <v>23</v>
      </c>
      <c r="C276" s="2">
        <v>46277</v>
      </c>
      <c r="D276" s="3">
        <v>0.75</v>
      </c>
      <c r="E276">
        <v>23</v>
      </c>
      <c r="F276">
        <v>25</v>
      </c>
      <c r="G276">
        <v>3</v>
      </c>
      <c r="H276" s="1" t="s">
        <v>24</v>
      </c>
      <c r="I276">
        <v>15</v>
      </c>
      <c r="J276">
        <v>16</v>
      </c>
      <c r="K276" s="1" t="s">
        <v>25</v>
      </c>
      <c r="L276" s="1" t="s">
        <v>32</v>
      </c>
      <c r="M276">
        <v>1</v>
      </c>
      <c r="N276">
        <v>0</v>
      </c>
      <c r="O276" s="1" t="s">
        <v>40</v>
      </c>
      <c r="P276">
        <v>1</v>
      </c>
      <c r="Q276">
        <v>1</v>
      </c>
      <c r="R276">
        <v>3</v>
      </c>
      <c r="S276">
        <v>18</v>
      </c>
      <c r="T276">
        <v>1</v>
      </c>
      <c r="U276">
        <v>1</v>
      </c>
      <c r="V276">
        <v>1.53</v>
      </c>
    </row>
    <row r="277" spans="1:22">
      <c r="A277" s="1" t="s">
        <v>323</v>
      </c>
      <c r="B277" s="1" t="s">
        <v>29</v>
      </c>
      <c r="C277" s="2">
        <v>46292</v>
      </c>
      <c r="D277" s="3">
        <v>0.3125</v>
      </c>
      <c r="E277">
        <v>119</v>
      </c>
      <c r="F277">
        <v>120</v>
      </c>
      <c r="G277">
        <v>5</v>
      </c>
      <c r="H277" s="1" t="s">
        <v>30</v>
      </c>
      <c r="I277">
        <v>32</v>
      </c>
      <c r="J277">
        <v>14</v>
      </c>
      <c r="K277" s="1" t="s">
        <v>31</v>
      </c>
      <c r="L277" s="1" t="s">
        <v>38</v>
      </c>
      <c r="M277">
        <v>1</v>
      </c>
      <c r="N277">
        <v>0</v>
      </c>
      <c r="O277" s="1" t="s">
        <v>134</v>
      </c>
      <c r="P277">
        <v>1</v>
      </c>
      <c r="Q277">
        <v>1</v>
      </c>
      <c r="R277">
        <v>0</v>
      </c>
      <c r="S277">
        <v>7</v>
      </c>
      <c r="T277">
        <v>0</v>
      </c>
      <c r="U277">
        <v>1</v>
      </c>
      <c r="V277">
        <v>3.72</v>
      </c>
    </row>
    <row r="278" spans="1:22">
      <c r="A278" s="1" t="s">
        <v>324</v>
      </c>
      <c r="B278" s="1" t="s">
        <v>23</v>
      </c>
      <c r="C278" s="2">
        <v>46284</v>
      </c>
      <c r="D278" s="3">
        <v>0.55208333333333337</v>
      </c>
      <c r="E278">
        <v>107</v>
      </c>
      <c r="F278">
        <v>110</v>
      </c>
      <c r="G278">
        <v>6</v>
      </c>
      <c r="H278" s="1" t="s">
        <v>24</v>
      </c>
      <c r="I278">
        <v>15</v>
      </c>
      <c r="J278">
        <v>16</v>
      </c>
      <c r="K278" s="1" t="s">
        <v>25</v>
      </c>
      <c r="L278" s="1" t="s">
        <v>32</v>
      </c>
      <c r="M278">
        <v>1</v>
      </c>
      <c r="N278">
        <v>1</v>
      </c>
      <c r="O278" s="1" t="s">
        <v>27</v>
      </c>
      <c r="P278">
        <v>1</v>
      </c>
      <c r="Q278">
        <v>1</v>
      </c>
      <c r="R278">
        <v>5</v>
      </c>
      <c r="S278">
        <v>13</v>
      </c>
      <c r="T278">
        <v>0</v>
      </c>
      <c r="U278">
        <v>0</v>
      </c>
      <c r="V278">
        <v>7.13</v>
      </c>
    </row>
    <row r="279" spans="1:22">
      <c r="A279" s="1" t="s">
        <v>325</v>
      </c>
      <c r="B279" s="1" t="s">
        <v>29</v>
      </c>
      <c r="C279" s="2">
        <v>46287</v>
      </c>
      <c r="D279" s="3">
        <v>0.70833333333333337</v>
      </c>
      <c r="E279">
        <v>128</v>
      </c>
      <c r="F279">
        <v>121</v>
      </c>
      <c r="G279">
        <v>6</v>
      </c>
      <c r="H279" s="1" t="s">
        <v>30</v>
      </c>
      <c r="I279">
        <v>32</v>
      </c>
      <c r="J279">
        <v>14</v>
      </c>
      <c r="K279" s="1" t="s">
        <v>31</v>
      </c>
      <c r="L279" s="1" t="s">
        <v>26</v>
      </c>
      <c r="M279">
        <v>0</v>
      </c>
      <c r="N279">
        <v>0</v>
      </c>
      <c r="O279" s="1" t="s">
        <v>27</v>
      </c>
      <c r="P279">
        <v>1</v>
      </c>
      <c r="Q279">
        <v>1</v>
      </c>
      <c r="R279">
        <v>1</v>
      </c>
      <c r="S279">
        <v>17</v>
      </c>
      <c r="T279">
        <v>1</v>
      </c>
      <c r="U279">
        <v>0</v>
      </c>
      <c r="V279">
        <v>4</v>
      </c>
    </row>
    <row r="280" spans="1:22">
      <c r="A280" s="1" t="s">
        <v>326</v>
      </c>
      <c r="B280" s="1" t="s">
        <v>29</v>
      </c>
      <c r="C280" s="2">
        <v>46289</v>
      </c>
      <c r="D280" s="3">
        <v>0.28125</v>
      </c>
      <c r="E280">
        <v>74</v>
      </c>
      <c r="F280">
        <v>67</v>
      </c>
      <c r="G280">
        <v>4</v>
      </c>
      <c r="H280" s="1" t="s">
        <v>30</v>
      </c>
      <c r="I280">
        <v>32</v>
      </c>
      <c r="J280">
        <v>14</v>
      </c>
      <c r="K280" s="1" t="s">
        <v>31</v>
      </c>
      <c r="L280" s="1" t="s">
        <v>56</v>
      </c>
      <c r="M280">
        <v>0</v>
      </c>
      <c r="N280">
        <v>0</v>
      </c>
      <c r="O280" s="1" t="s">
        <v>27</v>
      </c>
      <c r="P280">
        <v>1</v>
      </c>
      <c r="Q280">
        <v>1</v>
      </c>
      <c r="R280">
        <v>3</v>
      </c>
      <c r="S280">
        <v>6</v>
      </c>
      <c r="T280">
        <v>0</v>
      </c>
      <c r="U280">
        <v>0</v>
      </c>
      <c r="V280">
        <v>2.31</v>
      </c>
    </row>
    <row r="281" spans="1:22">
      <c r="A281" s="1" t="s">
        <v>327</v>
      </c>
      <c r="B281" s="1" t="s">
        <v>45</v>
      </c>
      <c r="C281" s="2">
        <v>46290</v>
      </c>
      <c r="D281" s="3">
        <v>0.28125</v>
      </c>
      <c r="E281">
        <v>119</v>
      </c>
      <c r="F281">
        <v>113</v>
      </c>
      <c r="G281">
        <v>7</v>
      </c>
      <c r="H281" s="1" t="s">
        <v>46</v>
      </c>
      <c r="I281">
        <v>18.5</v>
      </c>
      <c r="J281">
        <v>22</v>
      </c>
      <c r="K281" s="1" t="s">
        <v>47</v>
      </c>
      <c r="L281" s="1" t="s">
        <v>49</v>
      </c>
      <c r="M281">
        <v>0</v>
      </c>
      <c r="N281">
        <v>0</v>
      </c>
      <c r="O281" s="1" t="s">
        <v>27</v>
      </c>
      <c r="P281">
        <v>1</v>
      </c>
      <c r="Q281">
        <v>1</v>
      </c>
      <c r="R281">
        <v>0</v>
      </c>
      <c r="S281">
        <v>6</v>
      </c>
      <c r="T281">
        <v>0</v>
      </c>
      <c r="U281">
        <v>0</v>
      </c>
      <c r="V281">
        <v>6.43</v>
      </c>
    </row>
    <row r="282" spans="1:22">
      <c r="A282" s="1" t="s">
        <v>328</v>
      </c>
      <c r="B282" s="1" t="s">
        <v>23</v>
      </c>
      <c r="C282" s="2">
        <v>46272</v>
      </c>
      <c r="D282" s="3">
        <v>0.82291666666666663</v>
      </c>
      <c r="E282">
        <v>56</v>
      </c>
      <c r="F282">
        <v>50</v>
      </c>
      <c r="G282">
        <v>3</v>
      </c>
      <c r="H282" s="1" t="s">
        <v>24</v>
      </c>
      <c r="I282">
        <v>15</v>
      </c>
      <c r="J282">
        <v>16</v>
      </c>
      <c r="K282" s="1" t="s">
        <v>25</v>
      </c>
      <c r="L282" s="1" t="s">
        <v>65</v>
      </c>
      <c r="M282">
        <v>0</v>
      </c>
      <c r="N282">
        <v>0</v>
      </c>
      <c r="O282" s="1" t="s">
        <v>27</v>
      </c>
      <c r="P282">
        <v>1</v>
      </c>
      <c r="Q282">
        <v>1</v>
      </c>
      <c r="R282">
        <v>2</v>
      </c>
      <c r="S282">
        <v>19</v>
      </c>
      <c r="T282">
        <v>1</v>
      </c>
      <c r="U282">
        <v>0</v>
      </c>
      <c r="V282">
        <v>3.73</v>
      </c>
    </row>
    <row r="283" spans="1:22">
      <c r="A283" s="1" t="s">
        <v>329</v>
      </c>
      <c r="B283" s="1" t="s">
        <v>59</v>
      </c>
      <c r="C283" s="2">
        <v>46285</v>
      </c>
      <c r="D283" s="3">
        <v>0.73958333333333337</v>
      </c>
      <c r="E283">
        <v>98</v>
      </c>
      <c r="F283">
        <v>93</v>
      </c>
      <c r="G283">
        <v>5</v>
      </c>
      <c r="H283" s="1" t="s">
        <v>60</v>
      </c>
      <c r="I283">
        <v>24.8</v>
      </c>
      <c r="J283">
        <v>28</v>
      </c>
      <c r="K283" s="1" t="s">
        <v>61</v>
      </c>
      <c r="L283" s="1" t="s">
        <v>38</v>
      </c>
      <c r="M283">
        <v>1</v>
      </c>
      <c r="N283">
        <v>0</v>
      </c>
      <c r="O283" s="1" t="s">
        <v>52</v>
      </c>
      <c r="P283">
        <v>1</v>
      </c>
      <c r="Q283">
        <v>1</v>
      </c>
      <c r="R283">
        <v>0</v>
      </c>
      <c r="S283">
        <v>17</v>
      </c>
      <c r="T283">
        <v>1</v>
      </c>
      <c r="U283">
        <v>1</v>
      </c>
      <c r="V283">
        <v>3.95</v>
      </c>
    </row>
    <row r="284" spans="1:22">
      <c r="A284" s="1" t="s">
        <v>330</v>
      </c>
      <c r="B284" s="1" t="s">
        <v>34</v>
      </c>
      <c r="C284" s="2">
        <v>46271</v>
      </c>
      <c r="D284" s="3">
        <v>0.69791666666666663</v>
      </c>
      <c r="E284">
        <v>111</v>
      </c>
      <c r="F284">
        <v>101</v>
      </c>
      <c r="G284">
        <v>5</v>
      </c>
      <c r="H284" s="1" t="s">
        <v>35</v>
      </c>
      <c r="I284">
        <v>12.2</v>
      </c>
      <c r="J284">
        <v>18</v>
      </c>
      <c r="K284" s="1" t="s">
        <v>36</v>
      </c>
      <c r="L284" s="1" t="s">
        <v>38</v>
      </c>
      <c r="M284">
        <v>1</v>
      </c>
      <c r="N284">
        <v>0</v>
      </c>
      <c r="O284" s="1" t="s">
        <v>27</v>
      </c>
      <c r="P284">
        <v>1</v>
      </c>
      <c r="Q284">
        <v>1</v>
      </c>
      <c r="R284">
        <v>7</v>
      </c>
      <c r="S284">
        <v>16</v>
      </c>
      <c r="T284">
        <v>0</v>
      </c>
      <c r="U284">
        <v>0</v>
      </c>
      <c r="V284">
        <v>9.1</v>
      </c>
    </row>
    <row r="285" spans="1:22">
      <c r="A285" s="1" t="s">
        <v>331</v>
      </c>
      <c r="B285" s="1" t="s">
        <v>29</v>
      </c>
      <c r="C285" s="2">
        <v>46286</v>
      </c>
      <c r="D285" s="3">
        <v>0.72916666666666663</v>
      </c>
      <c r="E285">
        <v>61</v>
      </c>
      <c r="F285">
        <v>61</v>
      </c>
      <c r="G285">
        <v>5</v>
      </c>
      <c r="H285" s="1" t="s">
        <v>30</v>
      </c>
      <c r="I285">
        <v>32</v>
      </c>
      <c r="J285">
        <v>14</v>
      </c>
      <c r="K285" s="1" t="s">
        <v>31</v>
      </c>
      <c r="L285" s="1" t="s">
        <v>65</v>
      </c>
      <c r="M285">
        <v>0</v>
      </c>
      <c r="N285">
        <v>0</v>
      </c>
      <c r="O285" s="1" t="s">
        <v>27</v>
      </c>
      <c r="P285">
        <v>1</v>
      </c>
      <c r="Q285">
        <v>1</v>
      </c>
      <c r="R285">
        <v>1</v>
      </c>
      <c r="S285">
        <v>17</v>
      </c>
      <c r="T285">
        <v>1</v>
      </c>
      <c r="U285">
        <v>0</v>
      </c>
      <c r="V285">
        <v>1.91</v>
      </c>
    </row>
    <row r="286" spans="1:22">
      <c r="A286" s="1" t="s">
        <v>332</v>
      </c>
      <c r="B286" s="1" t="s">
        <v>45</v>
      </c>
      <c r="C286" s="2">
        <v>46289</v>
      </c>
      <c r="D286" s="3">
        <v>0.78125</v>
      </c>
      <c r="E286">
        <v>124</v>
      </c>
      <c r="F286">
        <v>140</v>
      </c>
      <c r="G286">
        <v>6</v>
      </c>
      <c r="H286" s="1" t="s">
        <v>46</v>
      </c>
      <c r="I286">
        <v>18.5</v>
      </c>
      <c r="J286">
        <v>22</v>
      </c>
      <c r="K286" s="1" t="s">
        <v>47</v>
      </c>
      <c r="L286" s="1" t="s">
        <v>56</v>
      </c>
      <c r="M286">
        <v>0</v>
      </c>
      <c r="N286">
        <v>0</v>
      </c>
      <c r="O286" s="1" t="s">
        <v>27</v>
      </c>
      <c r="P286">
        <v>1</v>
      </c>
      <c r="Q286">
        <v>1</v>
      </c>
      <c r="R286">
        <v>18</v>
      </c>
      <c r="S286">
        <v>18</v>
      </c>
      <c r="T286">
        <v>1</v>
      </c>
      <c r="U286">
        <v>0</v>
      </c>
      <c r="V286">
        <v>6.7</v>
      </c>
    </row>
    <row r="287" spans="1:22">
      <c r="A287" s="1" t="s">
        <v>333</v>
      </c>
      <c r="B287" s="1" t="s">
        <v>59</v>
      </c>
      <c r="C287" s="2">
        <v>46266</v>
      </c>
      <c r="D287" s="3">
        <v>0.91666666666666663</v>
      </c>
      <c r="E287">
        <v>132</v>
      </c>
      <c r="F287">
        <v>137</v>
      </c>
      <c r="G287">
        <v>4</v>
      </c>
      <c r="H287" s="1" t="s">
        <v>60</v>
      </c>
      <c r="I287">
        <v>24.8</v>
      </c>
      <c r="J287">
        <v>28</v>
      </c>
      <c r="K287" s="1" t="s">
        <v>61</v>
      </c>
      <c r="L287" s="1" t="s">
        <v>26</v>
      </c>
      <c r="M287">
        <v>0</v>
      </c>
      <c r="N287">
        <v>0</v>
      </c>
      <c r="O287" s="1" t="s">
        <v>27</v>
      </c>
      <c r="P287">
        <v>1</v>
      </c>
      <c r="Q287">
        <v>1</v>
      </c>
      <c r="R287">
        <v>9</v>
      </c>
      <c r="S287">
        <v>22</v>
      </c>
      <c r="T287">
        <v>0</v>
      </c>
      <c r="U287">
        <v>0</v>
      </c>
      <c r="V287">
        <v>5.32</v>
      </c>
    </row>
    <row r="288" spans="1:22">
      <c r="A288" s="1" t="s">
        <v>334</v>
      </c>
      <c r="B288" s="1" t="s">
        <v>59</v>
      </c>
      <c r="C288" s="2">
        <v>46282</v>
      </c>
      <c r="D288" s="3">
        <v>0.44791666666666669</v>
      </c>
      <c r="E288">
        <v>120</v>
      </c>
      <c r="F288">
        <v>105</v>
      </c>
      <c r="G288">
        <v>5</v>
      </c>
      <c r="H288" s="1" t="s">
        <v>60</v>
      </c>
      <c r="I288">
        <v>24.8</v>
      </c>
      <c r="J288">
        <v>28</v>
      </c>
      <c r="K288" s="1" t="s">
        <v>61</v>
      </c>
      <c r="L288" s="1" t="s">
        <v>56</v>
      </c>
      <c r="M288">
        <v>0</v>
      </c>
      <c r="N288">
        <v>0</v>
      </c>
      <c r="O288" s="1" t="s">
        <v>27</v>
      </c>
      <c r="P288">
        <v>1</v>
      </c>
      <c r="Q288">
        <v>1</v>
      </c>
      <c r="R288">
        <v>1</v>
      </c>
      <c r="S288">
        <v>10</v>
      </c>
      <c r="T288">
        <v>1</v>
      </c>
      <c r="U288">
        <v>0</v>
      </c>
      <c r="V288">
        <v>4.84</v>
      </c>
    </row>
    <row r="289" spans="1:22">
      <c r="A289" s="1" t="s">
        <v>335</v>
      </c>
      <c r="B289" s="1" t="s">
        <v>29</v>
      </c>
      <c r="C289" s="2">
        <v>46294</v>
      </c>
      <c r="D289" s="3">
        <v>0.63541666666666663</v>
      </c>
      <c r="E289">
        <v>92</v>
      </c>
      <c r="F289">
        <v>86</v>
      </c>
      <c r="G289">
        <v>4</v>
      </c>
      <c r="H289" s="1" t="s">
        <v>30</v>
      </c>
      <c r="I289">
        <v>32</v>
      </c>
      <c r="J289">
        <v>14</v>
      </c>
      <c r="K289" s="1" t="s">
        <v>31</v>
      </c>
      <c r="L289" s="1" t="s">
        <v>26</v>
      </c>
      <c r="M289">
        <v>0</v>
      </c>
      <c r="N289">
        <v>0</v>
      </c>
      <c r="O289" s="1" t="s">
        <v>27</v>
      </c>
      <c r="P289">
        <v>1</v>
      </c>
      <c r="Q289">
        <v>1</v>
      </c>
      <c r="R289">
        <v>6</v>
      </c>
      <c r="S289">
        <v>15</v>
      </c>
      <c r="T289">
        <v>0</v>
      </c>
      <c r="U289">
        <v>0</v>
      </c>
      <c r="V289">
        <v>2.88</v>
      </c>
    </row>
    <row r="290" spans="1:22">
      <c r="A290" s="1" t="s">
        <v>336</v>
      </c>
      <c r="B290" s="1" t="s">
        <v>23</v>
      </c>
      <c r="C290" s="2">
        <v>46276</v>
      </c>
      <c r="D290" s="3">
        <v>0.28125</v>
      </c>
      <c r="E290">
        <v>81</v>
      </c>
      <c r="F290">
        <v>82</v>
      </c>
      <c r="G290">
        <v>5</v>
      </c>
      <c r="H290" s="1" t="s">
        <v>24</v>
      </c>
      <c r="I290">
        <v>15</v>
      </c>
      <c r="J290">
        <v>16</v>
      </c>
      <c r="K290" s="1" t="s">
        <v>25</v>
      </c>
      <c r="L290" s="1" t="s">
        <v>49</v>
      </c>
      <c r="M290">
        <v>0</v>
      </c>
      <c r="N290">
        <v>0</v>
      </c>
      <c r="O290" s="1" t="s">
        <v>27</v>
      </c>
      <c r="P290">
        <v>1</v>
      </c>
      <c r="Q290">
        <v>1</v>
      </c>
      <c r="R290">
        <v>4</v>
      </c>
      <c r="S290">
        <v>6</v>
      </c>
      <c r="T290">
        <v>0</v>
      </c>
      <c r="U290">
        <v>0</v>
      </c>
      <c r="V290">
        <v>5.4</v>
      </c>
    </row>
    <row r="291" spans="1:22">
      <c r="A291" s="1" t="s">
        <v>337</v>
      </c>
      <c r="B291" s="1" t="s">
        <v>45</v>
      </c>
      <c r="C291" s="2">
        <v>46287</v>
      </c>
      <c r="D291" s="3">
        <v>0.39583333333333331</v>
      </c>
      <c r="E291">
        <v>108</v>
      </c>
      <c r="F291">
        <v>104</v>
      </c>
      <c r="G291">
        <v>6</v>
      </c>
      <c r="H291" s="1" t="s">
        <v>46</v>
      </c>
      <c r="I291">
        <v>18.5</v>
      </c>
      <c r="J291">
        <v>22</v>
      </c>
      <c r="K291" s="1" t="s">
        <v>47</v>
      </c>
      <c r="L291" s="1" t="s">
        <v>26</v>
      </c>
      <c r="M291">
        <v>0</v>
      </c>
      <c r="N291">
        <v>0</v>
      </c>
      <c r="O291" s="1" t="s">
        <v>27</v>
      </c>
      <c r="P291">
        <v>1</v>
      </c>
      <c r="Q291">
        <v>1</v>
      </c>
      <c r="R291">
        <v>18</v>
      </c>
      <c r="S291">
        <v>9</v>
      </c>
      <c r="T291">
        <v>1</v>
      </c>
      <c r="U291">
        <v>0</v>
      </c>
      <c r="V291">
        <v>5.84</v>
      </c>
    </row>
    <row r="292" spans="1:22">
      <c r="A292" s="1" t="s">
        <v>338</v>
      </c>
      <c r="B292" s="1" t="s">
        <v>45</v>
      </c>
      <c r="C292" s="2">
        <v>46291</v>
      </c>
      <c r="D292" s="3">
        <v>0.26041666666666669</v>
      </c>
      <c r="E292">
        <v>124</v>
      </c>
      <c r="F292">
        <v>109</v>
      </c>
      <c r="G292">
        <v>6</v>
      </c>
      <c r="H292" s="1" t="s">
        <v>46</v>
      </c>
      <c r="I292">
        <v>18.5</v>
      </c>
      <c r="J292">
        <v>22</v>
      </c>
      <c r="K292" s="1" t="s">
        <v>47</v>
      </c>
      <c r="L292" s="1" t="s">
        <v>32</v>
      </c>
      <c r="M292">
        <v>1</v>
      </c>
      <c r="N292">
        <v>0</v>
      </c>
      <c r="O292" s="1" t="s">
        <v>27</v>
      </c>
      <c r="P292">
        <v>1</v>
      </c>
      <c r="Q292">
        <v>1</v>
      </c>
      <c r="R292">
        <v>1</v>
      </c>
      <c r="S292">
        <v>6</v>
      </c>
      <c r="T292">
        <v>0</v>
      </c>
      <c r="U292">
        <v>0</v>
      </c>
      <c r="V292">
        <v>6.7</v>
      </c>
    </row>
    <row r="293" spans="1:22">
      <c r="A293" s="1" t="s">
        <v>339</v>
      </c>
      <c r="B293" s="1" t="s">
        <v>29</v>
      </c>
      <c r="C293" s="2">
        <v>46293</v>
      </c>
      <c r="D293" s="3">
        <v>0.26041666666666669</v>
      </c>
      <c r="E293">
        <v>176</v>
      </c>
      <c r="F293">
        <v>174</v>
      </c>
      <c r="G293">
        <v>7</v>
      </c>
      <c r="H293" s="1" t="s">
        <v>30</v>
      </c>
      <c r="I293">
        <v>32</v>
      </c>
      <c r="J293">
        <v>14</v>
      </c>
      <c r="K293" s="1" t="s">
        <v>31</v>
      </c>
      <c r="L293" s="1" t="s">
        <v>65</v>
      </c>
      <c r="M293">
        <v>0</v>
      </c>
      <c r="N293">
        <v>0</v>
      </c>
      <c r="O293" s="1" t="s">
        <v>27</v>
      </c>
      <c r="P293">
        <v>1</v>
      </c>
      <c r="Q293">
        <v>1</v>
      </c>
      <c r="R293">
        <v>0</v>
      </c>
      <c r="S293">
        <v>6</v>
      </c>
      <c r="T293">
        <v>0</v>
      </c>
      <c r="U293">
        <v>0</v>
      </c>
      <c r="V293">
        <v>5.5</v>
      </c>
    </row>
    <row r="294" spans="1:22">
      <c r="A294" s="1" t="s">
        <v>340</v>
      </c>
      <c r="B294" s="1" t="s">
        <v>29</v>
      </c>
      <c r="C294" s="2">
        <v>46283</v>
      </c>
      <c r="D294" s="3">
        <v>0.63541666666666663</v>
      </c>
      <c r="E294">
        <v>44</v>
      </c>
      <c r="F294">
        <v>50</v>
      </c>
      <c r="G294">
        <v>3</v>
      </c>
      <c r="H294" s="1" t="s">
        <v>30</v>
      </c>
      <c r="I294">
        <v>32</v>
      </c>
      <c r="J294">
        <v>14</v>
      </c>
      <c r="K294" s="1" t="s">
        <v>31</v>
      </c>
      <c r="L294" s="1" t="s">
        <v>49</v>
      </c>
      <c r="M294">
        <v>0</v>
      </c>
      <c r="N294">
        <v>0</v>
      </c>
      <c r="O294" s="1" t="s">
        <v>27</v>
      </c>
      <c r="P294">
        <v>1</v>
      </c>
      <c r="Q294">
        <v>1</v>
      </c>
      <c r="R294">
        <v>0</v>
      </c>
      <c r="S294">
        <v>15</v>
      </c>
      <c r="T294">
        <v>0</v>
      </c>
      <c r="U294">
        <v>0</v>
      </c>
      <c r="V294">
        <v>1.38</v>
      </c>
    </row>
    <row r="295" spans="1:22">
      <c r="A295" s="1" t="s">
        <v>341</v>
      </c>
      <c r="B295" s="1" t="s">
        <v>59</v>
      </c>
      <c r="C295" s="2">
        <v>46286</v>
      </c>
      <c r="D295" s="3">
        <v>0.79166666666666663</v>
      </c>
      <c r="E295">
        <v>94</v>
      </c>
      <c r="F295">
        <v>90</v>
      </c>
      <c r="G295">
        <v>4</v>
      </c>
      <c r="H295" s="1" t="s">
        <v>60</v>
      </c>
      <c r="I295">
        <v>24.8</v>
      </c>
      <c r="J295">
        <v>28</v>
      </c>
      <c r="K295" s="1" t="s">
        <v>61</v>
      </c>
      <c r="L295" s="1" t="s">
        <v>65</v>
      </c>
      <c r="M295">
        <v>0</v>
      </c>
      <c r="N295">
        <v>0</v>
      </c>
      <c r="O295" s="1" t="s">
        <v>27</v>
      </c>
      <c r="P295">
        <v>1</v>
      </c>
      <c r="Q295">
        <v>1</v>
      </c>
      <c r="R295">
        <v>5</v>
      </c>
      <c r="S295">
        <v>19</v>
      </c>
      <c r="T295">
        <v>1</v>
      </c>
      <c r="U295">
        <v>0</v>
      </c>
      <c r="V295">
        <v>3.79</v>
      </c>
    </row>
    <row r="296" spans="1:22">
      <c r="A296" s="1" t="s">
        <v>342</v>
      </c>
      <c r="B296" s="1" t="s">
        <v>34</v>
      </c>
      <c r="C296" s="2">
        <v>46282</v>
      </c>
      <c r="D296" s="3">
        <v>0.5625</v>
      </c>
      <c r="E296">
        <v>100</v>
      </c>
      <c r="F296">
        <v>95</v>
      </c>
      <c r="G296">
        <v>4</v>
      </c>
      <c r="H296" s="1" t="s">
        <v>35</v>
      </c>
      <c r="I296">
        <v>12.2</v>
      </c>
      <c r="J296">
        <v>18</v>
      </c>
      <c r="K296" s="1" t="s">
        <v>36</v>
      </c>
      <c r="L296" s="1" t="s">
        <v>56</v>
      </c>
      <c r="M296">
        <v>0</v>
      </c>
      <c r="N296">
        <v>0</v>
      </c>
      <c r="O296" s="1" t="s">
        <v>27</v>
      </c>
      <c r="P296">
        <v>1</v>
      </c>
      <c r="Q296">
        <v>1</v>
      </c>
      <c r="R296">
        <v>4</v>
      </c>
      <c r="S296">
        <v>13</v>
      </c>
      <c r="T296">
        <v>0</v>
      </c>
      <c r="U296">
        <v>0</v>
      </c>
      <c r="V296">
        <v>8.1999999999999993</v>
      </c>
    </row>
    <row r="297" spans="1:22">
      <c r="A297" s="1" t="s">
        <v>343</v>
      </c>
      <c r="B297" s="1" t="s">
        <v>29</v>
      </c>
      <c r="C297" s="2">
        <v>46272</v>
      </c>
      <c r="D297" s="3">
        <v>0.57291666666666663</v>
      </c>
      <c r="E297">
        <v>142</v>
      </c>
      <c r="F297">
        <v>136</v>
      </c>
      <c r="G297">
        <v>4</v>
      </c>
      <c r="H297" s="1" t="s">
        <v>30</v>
      </c>
      <c r="I297">
        <v>32</v>
      </c>
      <c r="J297">
        <v>14</v>
      </c>
      <c r="K297" s="1" t="s">
        <v>31</v>
      </c>
      <c r="L297" s="1" t="s">
        <v>65</v>
      </c>
      <c r="M297">
        <v>0</v>
      </c>
      <c r="N297">
        <v>0</v>
      </c>
      <c r="O297" s="1" t="s">
        <v>27</v>
      </c>
      <c r="P297">
        <v>1</v>
      </c>
      <c r="Q297">
        <v>1</v>
      </c>
      <c r="R297">
        <v>2</v>
      </c>
      <c r="S297">
        <v>13</v>
      </c>
      <c r="T297">
        <v>0</v>
      </c>
      <c r="U297">
        <v>0</v>
      </c>
      <c r="V297">
        <v>4.4400000000000004</v>
      </c>
    </row>
    <row r="298" spans="1:22">
      <c r="A298" s="1" t="s">
        <v>344</v>
      </c>
      <c r="B298" s="1" t="s">
        <v>29</v>
      </c>
      <c r="C298" s="2">
        <v>46282</v>
      </c>
      <c r="D298" s="3">
        <v>0.77083333333333337</v>
      </c>
      <c r="E298">
        <v>134</v>
      </c>
      <c r="F298">
        <v>137</v>
      </c>
      <c r="G298">
        <v>4</v>
      </c>
      <c r="H298" s="1" t="s">
        <v>30</v>
      </c>
      <c r="I298">
        <v>32</v>
      </c>
      <c r="J298">
        <v>14</v>
      </c>
      <c r="K298" s="1" t="s">
        <v>31</v>
      </c>
      <c r="L298" s="1" t="s">
        <v>56</v>
      </c>
      <c r="M298">
        <v>0</v>
      </c>
      <c r="N298">
        <v>0</v>
      </c>
      <c r="O298" s="1" t="s">
        <v>27</v>
      </c>
      <c r="P298">
        <v>1</v>
      </c>
      <c r="Q298">
        <v>1</v>
      </c>
      <c r="R298">
        <v>6</v>
      </c>
      <c r="S298">
        <v>18</v>
      </c>
      <c r="T298">
        <v>1</v>
      </c>
      <c r="U298">
        <v>0</v>
      </c>
      <c r="V298">
        <v>4.1900000000000004</v>
      </c>
    </row>
    <row r="299" spans="1:22">
      <c r="A299" s="1" t="s">
        <v>345</v>
      </c>
      <c r="B299" s="1" t="s">
        <v>29</v>
      </c>
      <c r="C299" s="2">
        <v>46285</v>
      </c>
      <c r="D299" s="3">
        <v>0.48958333333333331</v>
      </c>
      <c r="E299">
        <v>105</v>
      </c>
      <c r="F299">
        <v>115</v>
      </c>
      <c r="G299">
        <v>6</v>
      </c>
      <c r="H299" s="1" t="s">
        <v>30</v>
      </c>
      <c r="I299">
        <v>32</v>
      </c>
      <c r="J299">
        <v>14</v>
      </c>
      <c r="K299" s="1" t="s">
        <v>31</v>
      </c>
      <c r="L299" s="1" t="s">
        <v>38</v>
      </c>
      <c r="M299">
        <v>1</v>
      </c>
      <c r="N299">
        <v>0</v>
      </c>
      <c r="O299" s="1" t="s">
        <v>52</v>
      </c>
      <c r="P299">
        <v>1</v>
      </c>
      <c r="Q299">
        <v>1</v>
      </c>
      <c r="R299">
        <v>2</v>
      </c>
      <c r="S299">
        <v>11</v>
      </c>
      <c r="T299">
        <v>0</v>
      </c>
      <c r="U299">
        <v>1</v>
      </c>
      <c r="V299">
        <v>3.28</v>
      </c>
    </row>
    <row r="300" spans="1:22">
      <c r="A300" s="1" t="s">
        <v>346</v>
      </c>
      <c r="B300" s="1" t="s">
        <v>29</v>
      </c>
      <c r="C300" s="2">
        <v>46274</v>
      </c>
      <c r="D300" s="3">
        <v>0.86458333333333337</v>
      </c>
      <c r="E300">
        <v>130</v>
      </c>
      <c r="F300">
        <v>129</v>
      </c>
      <c r="G300">
        <v>5</v>
      </c>
      <c r="H300" s="1" t="s">
        <v>30</v>
      </c>
      <c r="I300">
        <v>32</v>
      </c>
      <c r="J300">
        <v>14</v>
      </c>
      <c r="K300" s="1" t="s">
        <v>31</v>
      </c>
      <c r="L300" s="1" t="s">
        <v>69</v>
      </c>
      <c r="M300">
        <v>0</v>
      </c>
      <c r="N300">
        <v>0</v>
      </c>
      <c r="O300" s="1" t="s">
        <v>27</v>
      </c>
      <c r="P300">
        <v>1</v>
      </c>
      <c r="Q300">
        <v>1</v>
      </c>
      <c r="R300">
        <v>0</v>
      </c>
      <c r="S300">
        <v>20</v>
      </c>
      <c r="T300">
        <v>0</v>
      </c>
      <c r="U300">
        <v>0</v>
      </c>
      <c r="V300">
        <v>4.0599999999999996</v>
      </c>
    </row>
    <row r="301" spans="1:22">
      <c r="A301" s="1" t="s">
        <v>347</v>
      </c>
      <c r="B301" s="1" t="s">
        <v>29</v>
      </c>
      <c r="C301" s="2">
        <v>46282</v>
      </c>
      <c r="D301" s="3">
        <v>0.23958333333333334</v>
      </c>
      <c r="E301">
        <v>61</v>
      </c>
      <c r="F301">
        <v>62</v>
      </c>
      <c r="G301">
        <v>3</v>
      </c>
      <c r="H301" s="1" t="s">
        <v>30</v>
      </c>
      <c r="I301">
        <v>32</v>
      </c>
      <c r="J301">
        <v>14</v>
      </c>
      <c r="K301" s="1" t="s">
        <v>31</v>
      </c>
      <c r="L301" s="1" t="s">
        <v>56</v>
      </c>
      <c r="M301">
        <v>0</v>
      </c>
      <c r="N301">
        <v>0</v>
      </c>
      <c r="O301" s="1" t="s">
        <v>27</v>
      </c>
      <c r="P301">
        <v>1</v>
      </c>
      <c r="Q301">
        <v>1</v>
      </c>
      <c r="R301">
        <v>0</v>
      </c>
      <c r="S301">
        <v>5</v>
      </c>
      <c r="T301">
        <v>0</v>
      </c>
      <c r="U301">
        <v>0</v>
      </c>
      <c r="V301">
        <v>1.91</v>
      </c>
    </row>
    <row r="302" spans="1:22">
      <c r="A302" s="1" t="s">
        <v>348</v>
      </c>
      <c r="B302" s="1" t="s">
        <v>29</v>
      </c>
      <c r="C302" s="2">
        <v>46285</v>
      </c>
      <c r="D302" s="3">
        <v>0.35416666666666669</v>
      </c>
      <c r="E302">
        <v>243</v>
      </c>
      <c r="F302">
        <v>237</v>
      </c>
      <c r="G302">
        <v>7</v>
      </c>
      <c r="H302" s="1" t="s">
        <v>30</v>
      </c>
      <c r="I302">
        <v>32</v>
      </c>
      <c r="J302">
        <v>14</v>
      </c>
      <c r="K302" s="1" t="s">
        <v>31</v>
      </c>
      <c r="L302" s="1" t="s">
        <v>38</v>
      </c>
      <c r="M302">
        <v>1</v>
      </c>
      <c r="N302">
        <v>0</v>
      </c>
      <c r="O302" s="1" t="s">
        <v>52</v>
      </c>
      <c r="P302">
        <v>1</v>
      </c>
      <c r="Q302">
        <v>1</v>
      </c>
      <c r="R302">
        <v>4</v>
      </c>
      <c r="S302">
        <v>8</v>
      </c>
      <c r="T302">
        <v>1</v>
      </c>
      <c r="U302">
        <v>1</v>
      </c>
      <c r="V302">
        <v>7.59</v>
      </c>
    </row>
    <row r="303" spans="1:22">
      <c r="A303" s="1" t="s">
        <v>349</v>
      </c>
      <c r="B303" s="1" t="s">
        <v>45</v>
      </c>
      <c r="C303" s="2">
        <v>46287</v>
      </c>
      <c r="D303" s="3">
        <v>0.5</v>
      </c>
      <c r="E303">
        <v>93</v>
      </c>
      <c r="F303">
        <v>95</v>
      </c>
      <c r="G303">
        <v>5</v>
      </c>
      <c r="H303" s="1" t="s">
        <v>46</v>
      </c>
      <c r="I303">
        <v>18.5</v>
      </c>
      <c r="J303">
        <v>22</v>
      </c>
      <c r="K303" s="1" t="s">
        <v>47</v>
      </c>
      <c r="L303" s="1" t="s">
        <v>26</v>
      </c>
      <c r="M303">
        <v>0</v>
      </c>
      <c r="N303">
        <v>0</v>
      </c>
      <c r="O303" s="1" t="s">
        <v>27</v>
      </c>
      <c r="P303">
        <v>1</v>
      </c>
      <c r="Q303">
        <v>1</v>
      </c>
      <c r="R303">
        <v>7</v>
      </c>
      <c r="S303">
        <v>12</v>
      </c>
      <c r="T303">
        <v>0</v>
      </c>
      <c r="U303">
        <v>0</v>
      </c>
      <c r="V303">
        <v>5.03</v>
      </c>
    </row>
    <row r="304" spans="1:22">
      <c r="A304" s="1" t="s">
        <v>350</v>
      </c>
      <c r="B304" s="1" t="s">
        <v>29</v>
      </c>
      <c r="C304" s="2">
        <v>46287</v>
      </c>
      <c r="D304" s="3">
        <v>0.39583333333333331</v>
      </c>
      <c r="E304">
        <v>174</v>
      </c>
      <c r="F304">
        <v>168</v>
      </c>
      <c r="G304">
        <v>6</v>
      </c>
      <c r="H304" s="1" t="s">
        <v>30</v>
      </c>
      <c r="I304">
        <v>32</v>
      </c>
      <c r="J304">
        <v>14</v>
      </c>
      <c r="K304" s="1" t="s">
        <v>31</v>
      </c>
      <c r="L304" s="1" t="s">
        <v>26</v>
      </c>
      <c r="M304">
        <v>0</v>
      </c>
      <c r="N304">
        <v>0</v>
      </c>
      <c r="O304" s="1" t="s">
        <v>27</v>
      </c>
      <c r="P304">
        <v>1</v>
      </c>
      <c r="Q304">
        <v>1</v>
      </c>
      <c r="R304">
        <v>17</v>
      </c>
      <c r="S304">
        <v>9</v>
      </c>
      <c r="T304">
        <v>1</v>
      </c>
      <c r="U304">
        <v>0</v>
      </c>
      <c r="V304">
        <v>5.44</v>
      </c>
    </row>
    <row r="305" spans="1:22">
      <c r="A305" s="1" t="s">
        <v>351</v>
      </c>
      <c r="B305" s="1" t="s">
        <v>23</v>
      </c>
      <c r="C305" s="2">
        <v>46293</v>
      </c>
      <c r="D305" s="3">
        <v>0.36458333333333331</v>
      </c>
      <c r="E305">
        <v>117</v>
      </c>
      <c r="F305">
        <v>113</v>
      </c>
      <c r="G305">
        <v>6</v>
      </c>
      <c r="H305" s="1" t="s">
        <v>24</v>
      </c>
      <c r="I305">
        <v>15</v>
      </c>
      <c r="J305">
        <v>16</v>
      </c>
      <c r="K305" s="1" t="s">
        <v>25</v>
      </c>
      <c r="L305" s="1" t="s">
        <v>65</v>
      </c>
      <c r="M305">
        <v>0</v>
      </c>
      <c r="N305">
        <v>0</v>
      </c>
      <c r="O305" s="1" t="s">
        <v>27</v>
      </c>
      <c r="P305">
        <v>1</v>
      </c>
      <c r="Q305">
        <v>1</v>
      </c>
      <c r="R305">
        <v>0</v>
      </c>
      <c r="S305">
        <v>8</v>
      </c>
      <c r="T305">
        <v>1</v>
      </c>
      <c r="U305">
        <v>0</v>
      </c>
      <c r="V305">
        <v>7.8</v>
      </c>
    </row>
    <row r="306" spans="1:22">
      <c r="A306" s="1" t="s">
        <v>352</v>
      </c>
      <c r="B306" s="1" t="s">
        <v>29</v>
      </c>
      <c r="C306" s="2">
        <v>46294</v>
      </c>
      <c r="D306" s="3">
        <v>0.4375</v>
      </c>
      <c r="E306">
        <v>60</v>
      </c>
      <c r="F306">
        <v>52</v>
      </c>
      <c r="G306">
        <v>3</v>
      </c>
      <c r="H306" s="1" t="s">
        <v>30</v>
      </c>
      <c r="I306">
        <v>32</v>
      </c>
      <c r="J306">
        <v>14</v>
      </c>
      <c r="K306" s="1" t="s">
        <v>31</v>
      </c>
      <c r="L306" s="1" t="s">
        <v>26</v>
      </c>
      <c r="M306">
        <v>0</v>
      </c>
      <c r="N306">
        <v>0</v>
      </c>
      <c r="O306" s="1" t="s">
        <v>27</v>
      </c>
      <c r="P306">
        <v>1</v>
      </c>
      <c r="Q306">
        <v>1</v>
      </c>
      <c r="R306">
        <v>0</v>
      </c>
      <c r="S306">
        <v>10</v>
      </c>
      <c r="T306">
        <v>1</v>
      </c>
      <c r="U306">
        <v>0</v>
      </c>
      <c r="V306">
        <v>1.88</v>
      </c>
    </row>
    <row r="307" spans="1:22">
      <c r="A307" s="1" t="s">
        <v>353</v>
      </c>
      <c r="B307" s="1" t="s">
        <v>29</v>
      </c>
      <c r="C307" s="2">
        <v>46273</v>
      </c>
      <c r="D307" s="3">
        <v>0.9375</v>
      </c>
      <c r="E307">
        <v>114</v>
      </c>
      <c r="F307">
        <v>113</v>
      </c>
      <c r="G307">
        <v>4</v>
      </c>
      <c r="H307" s="1" t="s">
        <v>30</v>
      </c>
      <c r="I307">
        <v>32</v>
      </c>
      <c r="J307">
        <v>14</v>
      </c>
      <c r="K307" s="1" t="s">
        <v>31</v>
      </c>
      <c r="L307" s="1" t="s">
        <v>26</v>
      </c>
      <c r="M307">
        <v>0</v>
      </c>
      <c r="N307">
        <v>0</v>
      </c>
      <c r="O307" s="1" t="s">
        <v>27</v>
      </c>
      <c r="P307">
        <v>1</v>
      </c>
      <c r="Q307">
        <v>1</v>
      </c>
      <c r="R307">
        <v>6</v>
      </c>
      <c r="S307">
        <v>22</v>
      </c>
      <c r="T307">
        <v>0</v>
      </c>
      <c r="U307">
        <v>0</v>
      </c>
      <c r="V307">
        <v>3.56</v>
      </c>
    </row>
    <row r="308" spans="1:22">
      <c r="A308" s="1" t="s">
        <v>354</v>
      </c>
      <c r="B308" s="1" t="s">
        <v>23</v>
      </c>
      <c r="C308" s="2">
        <v>46282</v>
      </c>
      <c r="D308" s="3">
        <v>0.40625</v>
      </c>
      <c r="E308">
        <v>137</v>
      </c>
      <c r="F308">
        <v>142</v>
      </c>
      <c r="G308">
        <v>6</v>
      </c>
      <c r="H308" s="1" t="s">
        <v>24</v>
      </c>
      <c r="I308">
        <v>15</v>
      </c>
      <c r="J308">
        <v>16</v>
      </c>
      <c r="K308" s="1" t="s">
        <v>25</v>
      </c>
      <c r="L308" s="1" t="s">
        <v>56</v>
      </c>
      <c r="M308">
        <v>0</v>
      </c>
      <c r="N308">
        <v>0</v>
      </c>
      <c r="O308" s="1" t="s">
        <v>27</v>
      </c>
      <c r="P308">
        <v>1</v>
      </c>
      <c r="Q308">
        <v>1</v>
      </c>
      <c r="R308">
        <v>13</v>
      </c>
      <c r="S308">
        <v>9</v>
      </c>
      <c r="T308">
        <v>1</v>
      </c>
      <c r="U308">
        <v>0</v>
      </c>
      <c r="V308">
        <v>9.1300000000000008</v>
      </c>
    </row>
    <row r="309" spans="1:22">
      <c r="A309" s="1" t="s">
        <v>355</v>
      </c>
      <c r="B309" s="1" t="s">
        <v>29</v>
      </c>
      <c r="C309" s="2">
        <v>46272</v>
      </c>
      <c r="D309" s="3">
        <v>0.3125</v>
      </c>
      <c r="E309">
        <v>140</v>
      </c>
      <c r="F309">
        <v>146</v>
      </c>
      <c r="G309">
        <v>5</v>
      </c>
      <c r="H309" s="1" t="s">
        <v>30</v>
      </c>
      <c r="I309">
        <v>32</v>
      </c>
      <c r="J309">
        <v>14</v>
      </c>
      <c r="K309" s="1" t="s">
        <v>31</v>
      </c>
      <c r="L309" s="1" t="s">
        <v>65</v>
      </c>
      <c r="M309">
        <v>0</v>
      </c>
      <c r="N309">
        <v>0</v>
      </c>
      <c r="O309" s="1" t="s">
        <v>27</v>
      </c>
      <c r="P309">
        <v>1</v>
      </c>
      <c r="Q309">
        <v>1</v>
      </c>
      <c r="R309">
        <v>4</v>
      </c>
      <c r="S309">
        <v>7</v>
      </c>
      <c r="T309">
        <v>0</v>
      </c>
      <c r="U309">
        <v>0</v>
      </c>
      <c r="V309">
        <v>4.38</v>
      </c>
    </row>
    <row r="310" spans="1:22">
      <c r="A310" s="1" t="s">
        <v>356</v>
      </c>
      <c r="B310" s="1" t="s">
        <v>45</v>
      </c>
      <c r="C310" s="2">
        <v>46266</v>
      </c>
      <c r="D310" s="3">
        <v>0.77083333333333337</v>
      </c>
      <c r="E310">
        <v>125</v>
      </c>
      <c r="F310">
        <v>118</v>
      </c>
      <c r="G310">
        <v>6</v>
      </c>
      <c r="H310" s="1" t="s">
        <v>46</v>
      </c>
      <c r="I310">
        <v>18.5</v>
      </c>
      <c r="J310">
        <v>22</v>
      </c>
      <c r="K310" s="1" t="s">
        <v>47</v>
      </c>
      <c r="L310" s="1" t="s">
        <v>26</v>
      </c>
      <c r="M310">
        <v>0</v>
      </c>
      <c r="N310">
        <v>0</v>
      </c>
      <c r="O310" s="1" t="s">
        <v>27</v>
      </c>
      <c r="P310">
        <v>1</v>
      </c>
      <c r="Q310">
        <v>1</v>
      </c>
      <c r="R310">
        <v>0</v>
      </c>
      <c r="S310">
        <v>18</v>
      </c>
      <c r="T310">
        <v>1</v>
      </c>
      <c r="U310">
        <v>0</v>
      </c>
      <c r="V310">
        <v>6.76</v>
      </c>
    </row>
    <row r="311" spans="1:22">
      <c r="A311" s="1" t="s">
        <v>357</v>
      </c>
      <c r="B311" s="1" t="s">
        <v>45</v>
      </c>
      <c r="C311" s="2">
        <v>46278</v>
      </c>
      <c r="D311" s="3">
        <v>0.375</v>
      </c>
      <c r="E311">
        <v>146</v>
      </c>
      <c r="F311">
        <v>150</v>
      </c>
      <c r="G311">
        <v>5</v>
      </c>
      <c r="H311" s="1" t="s">
        <v>46</v>
      </c>
      <c r="I311">
        <v>18.5</v>
      </c>
      <c r="J311">
        <v>22</v>
      </c>
      <c r="K311" s="1" t="s">
        <v>47</v>
      </c>
      <c r="L311" s="1" t="s">
        <v>38</v>
      </c>
      <c r="M311">
        <v>1</v>
      </c>
      <c r="N311">
        <v>0</v>
      </c>
      <c r="O311" s="1" t="s">
        <v>27</v>
      </c>
      <c r="P311">
        <v>1</v>
      </c>
      <c r="Q311">
        <v>1</v>
      </c>
      <c r="R311">
        <v>4</v>
      </c>
      <c r="S311">
        <v>9</v>
      </c>
      <c r="T311">
        <v>1</v>
      </c>
      <c r="U311">
        <v>0</v>
      </c>
      <c r="V311">
        <v>7.89</v>
      </c>
    </row>
    <row r="312" spans="1:22">
      <c r="A312" s="1" t="s">
        <v>358</v>
      </c>
      <c r="B312" s="1" t="s">
        <v>23</v>
      </c>
      <c r="C312" s="2">
        <v>46295</v>
      </c>
      <c r="D312" s="3">
        <v>0.38541666666666669</v>
      </c>
      <c r="E312">
        <v>142</v>
      </c>
      <c r="F312">
        <v>146</v>
      </c>
      <c r="G312">
        <v>5</v>
      </c>
      <c r="H312" s="1" t="s">
        <v>24</v>
      </c>
      <c r="I312">
        <v>15</v>
      </c>
      <c r="J312">
        <v>16</v>
      </c>
      <c r="K312" s="1" t="s">
        <v>25</v>
      </c>
      <c r="L312" s="1" t="s">
        <v>69</v>
      </c>
      <c r="M312">
        <v>0</v>
      </c>
      <c r="N312">
        <v>0</v>
      </c>
      <c r="O312" s="1" t="s">
        <v>27</v>
      </c>
      <c r="P312">
        <v>1</v>
      </c>
      <c r="Q312">
        <v>1</v>
      </c>
      <c r="R312">
        <v>0</v>
      </c>
      <c r="S312">
        <v>9</v>
      </c>
      <c r="T312">
        <v>1</v>
      </c>
      <c r="U312">
        <v>0</v>
      </c>
      <c r="V312">
        <v>9.4700000000000006</v>
      </c>
    </row>
    <row r="313" spans="1:22">
      <c r="A313" s="1" t="s">
        <v>359</v>
      </c>
      <c r="B313" s="1" t="s">
        <v>45</v>
      </c>
      <c r="C313" s="2">
        <v>46288</v>
      </c>
      <c r="D313" s="3">
        <v>0.26041666666666669</v>
      </c>
      <c r="E313">
        <v>125</v>
      </c>
      <c r="F313">
        <v>116</v>
      </c>
      <c r="G313">
        <v>6</v>
      </c>
      <c r="H313" s="1" t="s">
        <v>46</v>
      </c>
      <c r="I313">
        <v>18.5</v>
      </c>
      <c r="J313">
        <v>22</v>
      </c>
      <c r="K313" s="1" t="s">
        <v>47</v>
      </c>
      <c r="L313" s="1" t="s">
        <v>69</v>
      </c>
      <c r="M313">
        <v>0</v>
      </c>
      <c r="N313">
        <v>0</v>
      </c>
      <c r="O313" s="1" t="s">
        <v>27</v>
      </c>
      <c r="P313">
        <v>1</v>
      </c>
      <c r="Q313">
        <v>1</v>
      </c>
      <c r="R313">
        <v>20</v>
      </c>
      <c r="S313">
        <v>6</v>
      </c>
      <c r="T313">
        <v>0</v>
      </c>
      <c r="U313">
        <v>0</v>
      </c>
      <c r="V313">
        <v>6.76</v>
      </c>
    </row>
    <row r="314" spans="1:22">
      <c r="A314" s="1" t="s">
        <v>360</v>
      </c>
      <c r="B314" s="1" t="s">
        <v>45</v>
      </c>
      <c r="C314" s="2">
        <v>46284</v>
      </c>
      <c r="D314" s="3">
        <v>0.4375</v>
      </c>
      <c r="E314">
        <v>94</v>
      </c>
      <c r="F314">
        <v>101</v>
      </c>
      <c r="G314">
        <v>3</v>
      </c>
      <c r="H314" s="1" t="s">
        <v>46</v>
      </c>
      <c r="I314">
        <v>18.5</v>
      </c>
      <c r="J314">
        <v>22</v>
      </c>
      <c r="K314" s="1" t="s">
        <v>47</v>
      </c>
      <c r="L314" s="1" t="s">
        <v>32</v>
      </c>
      <c r="M314">
        <v>1</v>
      </c>
      <c r="N314">
        <v>1</v>
      </c>
      <c r="O314" s="1" t="s">
        <v>27</v>
      </c>
      <c r="P314">
        <v>1</v>
      </c>
      <c r="Q314">
        <v>1</v>
      </c>
      <c r="R314">
        <v>1</v>
      </c>
      <c r="S314">
        <v>10</v>
      </c>
      <c r="T314">
        <v>1</v>
      </c>
      <c r="U314">
        <v>0</v>
      </c>
      <c r="V314">
        <v>5.08</v>
      </c>
    </row>
    <row r="315" spans="1:22">
      <c r="A315" s="1" t="s">
        <v>361</v>
      </c>
      <c r="B315" s="1" t="s">
        <v>29</v>
      </c>
      <c r="C315" s="2">
        <v>46292</v>
      </c>
      <c r="D315" s="3">
        <v>0.60416666666666663</v>
      </c>
      <c r="E315">
        <v>129</v>
      </c>
      <c r="F315">
        <v>130</v>
      </c>
      <c r="G315">
        <v>5</v>
      </c>
      <c r="H315" s="1" t="s">
        <v>30</v>
      </c>
      <c r="I315">
        <v>32</v>
      </c>
      <c r="J315">
        <v>14</v>
      </c>
      <c r="K315" s="1" t="s">
        <v>31</v>
      </c>
      <c r="L315" s="1" t="s">
        <v>38</v>
      </c>
      <c r="M315">
        <v>1</v>
      </c>
      <c r="N315">
        <v>0</v>
      </c>
      <c r="O315" s="1" t="s">
        <v>134</v>
      </c>
      <c r="P315">
        <v>1</v>
      </c>
      <c r="Q315">
        <v>1</v>
      </c>
      <c r="R315">
        <v>11</v>
      </c>
      <c r="S315">
        <v>14</v>
      </c>
      <c r="T315">
        <v>0</v>
      </c>
      <c r="U315">
        <v>1</v>
      </c>
      <c r="V315">
        <v>4.03</v>
      </c>
    </row>
    <row r="316" spans="1:22">
      <c r="A316" s="1" t="s">
        <v>362</v>
      </c>
      <c r="B316" s="1" t="s">
        <v>29</v>
      </c>
      <c r="C316" s="2">
        <v>46289</v>
      </c>
      <c r="D316" s="3">
        <v>0.45833333333333331</v>
      </c>
      <c r="E316">
        <v>32</v>
      </c>
      <c r="F316">
        <v>32</v>
      </c>
      <c r="G316">
        <v>3</v>
      </c>
      <c r="H316" s="1" t="s">
        <v>30</v>
      </c>
      <c r="I316">
        <v>32</v>
      </c>
      <c r="J316">
        <v>14</v>
      </c>
      <c r="K316" s="1" t="s">
        <v>31</v>
      </c>
      <c r="L316" s="1" t="s">
        <v>56</v>
      </c>
      <c r="M316">
        <v>0</v>
      </c>
      <c r="N316">
        <v>0</v>
      </c>
      <c r="O316" s="1" t="s">
        <v>27</v>
      </c>
      <c r="P316">
        <v>1</v>
      </c>
      <c r="Q316">
        <v>1</v>
      </c>
      <c r="R316">
        <v>5</v>
      </c>
      <c r="S316">
        <v>11</v>
      </c>
      <c r="T316">
        <v>0</v>
      </c>
      <c r="U316">
        <v>0</v>
      </c>
      <c r="V316">
        <v>1</v>
      </c>
    </row>
    <row r="317" spans="1:22">
      <c r="A317" s="1" t="s">
        <v>363</v>
      </c>
      <c r="B317" s="1" t="s">
        <v>45</v>
      </c>
      <c r="C317" s="2">
        <v>46284</v>
      </c>
      <c r="D317" s="3">
        <v>0.20833333333333334</v>
      </c>
      <c r="E317">
        <v>129</v>
      </c>
      <c r="F317">
        <v>127</v>
      </c>
      <c r="G317">
        <v>4</v>
      </c>
      <c r="H317" s="1" t="s">
        <v>46</v>
      </c>
      <c r="I317">
        <v>18.5</v>
      </c>
      <c r="J317">
        <v>22</v>
      </c>
      <c r="K317" s="1" t="s">
        <v>47</v>
      </c>
      <c r="L317" s="1" t="s">
        <v>32</v>
      </c>
      <c r="M317">
        <v>1</v>
      </c>
      <c r="N317">
        <v>1</v>
      </c>
      <c r="O317" s="1" t="s">
        <v>27</v>
      </c>
      <c r="P317">
        <v>1</v>
      </c>
      <c r="Q317">
        <v>1</v>
      </c>
      <c r="R317">
        <v>1</v>
      </c>
      <c r="S317">
        <v>5</v>
      </c>
      <c r="T317">
        <v>0</v>
      </c>
      <c r="U317">
        <v>0</v>
      </c>
      <c r="V317">
        <v>6.97</v>
      </c>
    </row>
    <row r="318" spans="1:22">
      <c r="A318" s="1" t="s">
        <v>364</v>
      </c>
      <c r="B318" s="1" t="s">
        <v>45</v>
      </c>
      <c r="C318" s="2">
        <v>46295</v>
      </c>
      <c r="D318" s="3">
        <v>0.91666666666666663</v>
      </c>
      <c r="E318">
        <v>79</v>
      </c>
      <c r="F318">
        <v>77</v>
      </c>
      <c r="G318">
        <v>2</v>
      </c>
      <c r="H318" s="1" t="s">
        <v>46</v>
      </c>
      <c r="I318">
        <v>18.5</v>
      </c>
      <c r="J318">
        <v>22</v>
      </c>
      <c r="K318" s="1" t="s">
        <v>47</v>
      </c>
      <c r="L318" s="1" t="s">
        <v>69</v>
      </c>
      <c r="M318">
        <v>0</v>
      </c>
      <c r="N318">
        <v>0</v>
      </c>
      <c r="O318" s="1" t="s">
        <v>27</v>
      </c>
      <c r="P318">
        <v>1</v>
      </c>
      <c r="Q318">
        <v>1</v>
      </c>
      <c r="R318">
        <v>17</v>
      </c>
      <c r="S318">
        <v>22</v>
      </c>
      <c r="T318">
        <v>0</v>
      </c>
      <c r="U318">
        <v>0</v>
      </c>
      <c r="V318">
        <v>4.2699999999999996</v>
      </c>
    </row>
    <row r="319" spans="1:22">
      <c r="A319" s="1" t="s">
        <v>365</v>
      </c>
      <c r="B319" s="1" t="s">
        <v>45</v>
      </c>
      <c r="C319" s="2">
        <v>46295</v>
      </c>
      <c r="D319" s="3">
        <v>0.91666666666666663</v>
      </c>
      <c r="E319">
        <v>72</v>
      </c>
      <c r="F319">
        <v>62</v>
      </c>
      <c r="G319">
        <v>3</v>
      </c>
      <c r="H319" s="1" t="s">
        <v>46</v>
      </c>
      <c r="I319">
        <v>18.5</v>
      </c>
      <c r="J319">
        <v>22</v>
      </c>
      <c r="K319" s="1" t="s">
        <v>47</v>
      </c>
      <c r="L319" s="1" t="s">
        <v>69</v>
      </c>
      <c r="M319">
        <v>0</v>
      </c>
      <c r="N319">
        <v>0</v>
      </c>
      <c r="O319" s="1" t="s">
        <v>27</v>
      </c>
      <c r="P319">
        <v>1</v>
      </c>
      <c r="Q319">
        <v>1</v>
      </c>
      <c r="R319">
        <v>1</v>
      </c>
      <c r="S319">
        <v>22</v>
      </c>
      <c r="T319">
        <v>0</v>
      </c>
      <c r="U319">
        <v>0</v>
      </c>
      <c r="V319">
        <v>3.89</v>
      </c>
    </row>
    <row r="320" spans="1:22">
      <c r="A320" s="1" t="s">
        <v>366</v>
      </c>
      <c r="B320" s="1" t="s">
        <v>23</v>
      </c>
      <c r="C320" s="2">
        <v>46294</v>
      </c>
      <c r="D320" s="3">
        <v>0.73958333333333337</v>
      </c>
      <c r="E320">
        <v>102</v>
      </c>
      <c r="F320">
        <v>99</v>
      </c>
      <c r="G320">
        <v>4</v>
      </c>
      <c r="H320" s="1" t="s">
        <v>24</v>
      </c>
      <c r="I320">
        <v>15</v>
      </c>
      <c r="J320">
        <v>16</v>
      </c>
      <c r="K320" s="1" t="s">
        <v>25</v>
      </c>
      <c r="L320" s="1" t="s">
        <v>26</v>
      </c>
      <c r="M320">
        <v>0</v>
      </c>
      <c r="N320">
        <v>0</v>
      </c>
      <c r="O320" s="1" t="s">
        <v>27</v>
      </c>
      <c r="P320">
        <v>1</v>
      </c>
      <c r="Q320">
        <v>1</v>
      </c>
      <c r="R320">
        <v>4</v>
      </c>
      <c r="S320">
        <v>17</v>
      </c>
      <c r="T320">
        <v>1</v>
      </c>
      <c r="U320">
        <v>0</v>
      </c>
      <c r="V320">
        <v>6.8</v>
      </c>
    </row>
    <row r="321" spans="1:22">
      <c r="A321" s="1" t="s">
        <v>367</v>
      </c>
      <c r="B321" s="1" t="s">
        <v>23</v>
      </c>
      <c r="C321" s="2">
        <v>46282</v>
      </c>
      <c r="D321" s="3">
        <v>0.33333333333333331</v>
      </c>
      <c r="E321">
        <v>115</v>
      </c>
      <c r="F321">
        <v>106</v>
      </c>
      <c r="G321">
        <v>3</v>
      </c>
      <c r="H321" s="1" t="s">
        <v>24</v>
      </c>
      <c r="I321">
        <v>15</v>
      </c>
      <c r="J321">
        <v>16</v>
      </c>
      <c r="K321" s="1" t="s">
        <v>25</v>
      </c>
      <c r="L321" s="1" t="s">
        <v>56</v>
      </c>
      <c r="M321">
        <v>0</v>
      </c>
      <c r="N321">
        <v>0</v>
      </c>
      <c r="O321" s="1" t="s">
        <v>27</v>
      </c>
      <c r="P321">
        <v>1</v>
      </c>
      <c r="Q321">
        <v>1</v>
      </c>
      <c r="R321">
        <v>11</v>
      </c>
      <c r="S321">
        <v>8</v>
      </c>
      <c r="T321">
        <v>1</v>
      </c>
      <c r="U321">
        <v>0</v>
      </c>
      <c r="V321">
        <v>7.67</v>
      </c>
    </row>
    <row r="322" spans="1:22">
      <c r="A322" s="1" t="s">
        <v>368</v>
      </c>
      <c r="B322" s="1" t="s">
        <v>59</v>
      </c>
      <c r="C322" s="2">
        <v>46278</v>
      </c>
      <c r="D322" s="3">
        <v>0.29166666666666669</v>
      </c>
      <c r="E322">
        <v>165</v>
      </c>
      <c r="F322">
        <v>163</v>
      </c>
      <c r="G322">
        <v>7</v>
      </c>
      <c r="H322" s="1" t="s">
        <v>60</v>
      </c>
      <c r="I322">
        <v>24.8</v>
      </c>
      <c r="J322">
        <v>28</v>
      </c>
      <c r="K322" s="1" t="s">
        <v>61</v>
      </c>
      <c r="L322" s="1" t="s">
        <v>38</v>
      </c>
      <c r="M322">
        <v>1</v>
      </c>
      <c r="N322">
        <v>0</v>
      </c>
      <c r="O322" s="1" t="s">
        <v>27</v>
      </c>
      <c r="P322">
        <v>1</v>
      </c>
      <c r="Q322">
        <v>1</v>
      </c>
      <c r="R322">
        <v>4</v>
      </c>
      <c r="S322">
        <v>7</v>
      </c>
      <c r="T322">
        <v>0</v>
      </c>
      <c r="U322">
        <v>0</v>
      </c>
      <c r="V322">
        <v>6.65</v>
      </c>
    </row>
    <row r="323" spans="1:22">
      <c r="A323" s="1" t="s">
        <v>369</v>
      </c>
      <c r="B323" s="1" t="s">
        <v>45</v>
      </c>
      <c r="C323" s="2">
        <v>46294</v>
      </c>
      <c r="D323" s="3">
        <v>0.64583333333333337</v>
      </c>
      <c r="E323">
        <v>58</v>
      </c>
      <c r="F323">
        <v>62</v>
      </c>
      <c r="G323">
        <v>3</v>
      </c>
      <c r="H323" s="1" t="s">
        <v>46</v>
      </c>
      <c r="I323">
        <v>18.5</v>
      </c>
      <c r="J323">
        <v>22</v>
      </c>
      <c r="K323" s="1" t="s">
        <v>47</v>
      </c>
      <c r="L323" s="1" t="s">
        <v>26</v>
      </c>
      <c r="M323">
        <v>0</v>
      </c>
      <c r="N323">
        <v>0</v>
      </c>
      <c r="O323" s="1" t="s">
        <v>27</v>
      </c>
      <c r="P323">
        <v>1</v>
      </c>
      <c r="Q323">
        <v>1</v>
      </c>
      <c r="R323">
        <v>10</v>
      </c>
      <c r="S323">
        <v>15</v>
      </c>
      <c r="T323">
        <v>0</v>
      </c>
      <c r="U323">
        <v>0</v>
      </c>
      <c r="V323">
        <v>3.14</v>
      </c>
    </row>
    <row r="324" spans="1:22">
      <c r="A324" s="1" t="s">
        <v>370</v>
      </c>
      <c r="B324" s="1" t="s">
        <v>29</v>
      </c>
      <c r="C324" s="2">
        <v>46295</v>
      </c>
      <c r="D324" s="3">
        <v>0.34375</v>
      </c>
      <c r="E324">
        <v>150</v>
      </c>
      <c r="F324">
        <v>157</v>
      </c>
      <c r="G324">
        <v>6</v>
      </c>
      <c r="H324" s="1" t="s">
        <v>30</v>
      </c>
      <c r="I324">
        <v>32</v>
      </c>
      <c r="J324">
        <v>14</v>
      </c>
      <c r="K324" s="1" t="s">
        <v>31</v>
      </c>
      <c r="L324" s="1" t="s">
        <v>69</v>
      </c>
      <c r="M324">
        <v>0</v>
      </c>
      <c r="N324">
        <v>0</v>
      </c>
      <c r="O324" s="1" t="s">
        <v>27</v>
      </c>
      <c r="P324">
        <v>1</v>
      </c>
      <c r="Q324">
        <v>1</v>
      </c>
      <c r="R324">
        <v>11</v>
      </c>
      <c r="S324">
        <v>8</v>
      </c>
      <c r="T324">
        <v>1</v>
      </c>
      <c r="U324">
        <v>0</v>
      </c>
      <c r="V324">
        <v>4.6900000000000004</v>
      </c>
    </row>
    <row r="325" spans="1:22">
      <c r="A325" s="1" t="s">
        <v>371</v>
      </c>
      <c r="B325" s="1" t="s">
        <v>23</v>
      </c>
      <c r="C325" s="2">
        <v>46281</v>
      </c>
      <c r="D325" s="3">
        <v>0.86458333333333337</v>
      </c>
      <c r="E325">
        <v>29</v>
      </c>
      <c r="F325">
        <v>24</v>
      </c>
      <c r="G325">
        <v>2</v>
      </c>
      <c r="H325" s="1" t="s">
        <v>24</v>
      </c>
      <c r="I325">
        <v>15</v>
      </c>
      <c r="J325">
        <v>16</v>
      </c>
      <c r="K325" s="1" t="s">
        <v>25</v>
      </c>
      <c r="L325" s="1" t="s">
        <v>69</v>
      </c>
      <c r="M325">
        <v>0</v>
      </c>
      <c r="N325">
        <v>0</v>
      </c>
      <c r="O325" s="1" t="s">
        <v>27</v>
      </c>
      <c r="P325">
        <v>1</v>
      </c>
      <c r="Q325">
        <v>1</v>
      </c>
      <c r="R325">
        <v>7</v>
      </c>
      <c r="S325">
        <v>20</v>
      </c>
      <c r="T325">
        <v>0</v>
      </c>
      <c r="U325">
        <v>0</v>
      </c>
      <c r="V325">
        <v>1.93</v>
      </c>
    </row>
    <row r="326" spans="1:22">
      <c r="A326" s="1" t="s">
        <v>372</v>
      </c>
      <c r="B326" s="1" t="s">
        <v>29</v>
      </c>
      <c r="C326" s="2">
        <v>46273</v>
      </c>
      <c r="D326" s="3">
        <v>0.94791666666666663</v>
      </c>
      <c r="E326">
        <v>109</v>
      </c>
      <c r="F326">
        <v>99</v>
      </c>
      <c r="G326">
        <v>4</v>
      </c>
      <c r="H326" s="1" t="s">
        <v>30</v>
      </c>
      <c r="I326">
        <v>32</v>
      </c>
      <c r="J326">
        <v>14</v>
      </c>
      <c r="K326" s="1" t="s">
        <v>31</v>
      </c>
      <c r="L326" s="1" t="s">
        <v>26</v>
      </c>
      <c r="M326">
        <v>0</v>
      </c>
      <c r="N326">
        <v>0</v>
      </c>
      <c r="O326" s="1" t="s">
        <v>27</v>
      </c>
      <c r="P326">
        <v>1</v>
      </c>
      <c r="Q326">
        <v>1</v>
      </c>
      <c r="R326">
        <v>9</v>
      </c>
      <c r="S326">
        <v>22</v>
      </c>
      <c r="T326">
        <v>0</v>
      </c>
      <c r="U326">
        <v>0</v>
      </c>
      <c r="V326">
        <v>3.41</v>
      </c>
    </row>
    <row r="327" spans="1:22">
      <c r="A327" s="1" t="s">
        <v>373</v>
      </c>
      <c r="B327" s="1" t="s">
        <v>45</v>
      </c>
      <c r="C327" s="2">
        <v>46284</v>
      </c>
      <c r="D327" s="3">
        <v>0.29166666666666669</v>
      </c>
      <c r="E327">
        <v>158</v>
      </c>
      <c r="F327">
        <v>159</v>
      </c>
      <c r="G327">
        <v>3</v>
      </c>
      <c r="H327" s="1" t="s">
        <v>46</v>
      </c>
      <c r="I327">
        <v>18.5</v>
      </c>
      <c r="J327">
        <v>22</v>
      </c>
      <c r="K327" s="1" t="s">
        <v>47</v>
      </c>
      <c r="L327" s="1" t="s">
        <v>32</v>
      </c>
      <c r="M327">
        <v>1</v>
      </c>
      <c r="N327">
        <v>1</v>
      </c>
      <c r="O327" s="1" t="s">
        <v>27</v>
      </c>
      <c r="P327">
        <v>1</v>
      </c>
      <c r="Q327">
        <v>1</v>
      </c>
      <c r="R327">
        <v>8</v>
      </c>
      <c r="S327">
        <v>7</v>
      </c>
      <c r="T327">
        <v>0</v>
      </c>
      <c r="U327">
        <v>0</v>
      </c>
      <c r="V327">
        <v>8.5399999999999991</v>
      </c>
    </row>
    <row r="328" spans="1:22">
      <c r="A328" s="1" t="s">
        <v>374</v>
      </c>
      <c r="B328" s="1" t="s">
        <v>45</v>
      </c>
      <c r="C328" s="2">
        <v>46283</v>
      </c>
      <c r="D328" s="3">
        <v>0.42708333333333331</v>
      </c>
      <c r="E328">
        <v>72</v>
      </c>
      <c r="F328">
        <v>76</v>
      </c>
      <c r="G328">
        <v>4</v>
      </c>
      <c r="H328" s="1" t="s">
        <v>46</v>
      </c>
      <c r="I328">
        <v>18.5</v>
      </c>
      <c r="J328">
        <v>22</v>
      </c>
      <c r="K328" s="1" t="s">
        <v>47</v>
      </c>
      <c r="L328" s="1" t="s">
        <v>49</v>
      </c>
      <c r="M328">
        <v>0</v>
      </c>
      <c r="N328">
        <v>0</v>
      </c>
      <c r="O328" s="1" t="s">
        <v>27</v>
      </c>
      <c r="P328">
        <v>1</v>
      </c>
      <c r="Q328">
        <v>1</v>
      </c>
      <c r="R328">
        <v>25</v>
      </c>
      <c r="S328">
        <v>10</v>
      </c>
      <c r="T328">
        <v>1</v>
      </c>
      <c r="U328">
        <v>0</v>
      </c>
      <c r="V328">
        <v>3.89</v>
      </c>
    </row>
    <row r="329" spans="1:22">
      <c r="A329" s="1" t="s">
        <v>375</v>
      </c>
      <c r="B329" s="1" t="s">
        <v>29</v>
      </c>
      <c r="C329" s="2">
        <v>46266</v>
      </c>
      <c r="D329" s="3">
        <v>0.58333333333333337</v>
      </c>
      <c r="E329">
        <v>118</v>
      </c>
      <c r="F329">
        <v>104</v>
      </c>
      <c r="G329">
        <v>5</v>
      </c>
      <c r="H329" s="1" t="s">
        <v>30</v>
      </c>
      <c r="I329">
        <v>32</v>
      </c>
      <c r="J329">
        <v>14</v>
      </c>
      <c r="K329" s="1" t="s">
        <v>31</v>
      </c>
      <c r="L329" s="1" t="s">
        <v>26</v>
      </c>
      <c r="M329">
        <v>0</v>
      </c>
      <c r="N329">
        <v>0</v>
      </c>
      <c r="O329" s="1" t="s">
        <v>27</v>
      </c>
      <c r="P329">
        <v>1</v>
      </c>
      <c r="Q329">
        <v>1</v>
      </c>
      <c r="R329">
        <v>6</v>
      </c>
      <c r="S329">
        <v>14</v>
      </c>
      <c r="T329">
        <v>0</v>
      </c>
      <c r="U329">
        <v>0</v>
      </c>
      <c r="V329">
        <v>3.69</v>
      </c>
    </row>
    <row r="330" spans="1:22">
      <c r="A330" s="1" t="s">
        <v>376</v>
      </c>
      <c r="B330" s="1" t="s">
        <v>29</v>
      </c>
      <c r="C330" s="2">
        <v>46279</v>
      </c>
      <c r="D330" s="3">
        <v>0.875</v>
      </c>
      <c r="E330">
        <v>88</v>
      </c>
      <c r="F330">
        <v>83</v>
      </c>
      <c r="G330">
        <v>4</v>
      </c>
      <c r="H330" s="1" t="s">
        <v>30</v>
      </c>
      <c r="I330">
        <v>32</v>
      </c>
      <c r="J330">
        <v>14</v>
      </c>
      <c r="K330" s="1" t="s">
        <v>31</v>
      </c>
      <c r="L330" s="1" t="s">
        <v>65</v>
      </c>
      <c r="M330">
        <v>0</v>
      </c>
      <c r="N330">
        <v>0</v>
      </c>
      <c r="O330" s="1" t="s">
        <v>27</v>
      </c>
      <c r="P330">
        <v>1</v>
      </c>
      <c r="Q330">
        <v>1</v>
      </c>
      <c r="R330">
        <v>7</v>
      </c>
      <c r="S330">
        <v>21</v>
      </c>
      <c r="T330">
        <v>0</v>
      </c>
      <c r="U330">
        <v>0</v>
      </c>
      <c r="V330">
        <v>2.75</v>
      </c>
    </row>
    <row r="331" spans="1:22">
      <c r="A331" s="1" t="s">
        <v>377</v>
      </c>
      <c r="B331" s="1" t="s">
        <v>45</v>
      </c>
      <c r="C331" s="2">
        <v>46284</v>
      </c>
      <c r="D331" s="3">
        <v>0.90625</v>
      </c>
      <c r="E331">
        <v>132</v>
      </c>
      <c r="F331">
        <v>139</v>
      </c>
      <c r="G331">
        <v>7</v>
      </c>
      <c r="H331" s="1" t="s">
        <v>46</v>
      </c>
      <c r="I331">
        <v>18.5</v>
      </c>
      <c r="J331">
        <v>22</v>
      </c>
      <c r="K331" s="1" t="s">
        <v>47</v>
      </c>
      <c r="L331" s="1" t="s">
        <v>32</v>
      </c>
      <c r="M331">
        <v>1</v>
      </c>
      <c r="N331">
        <v>1</v>
      </c>
      <c r="O331" s="1" t="s">
        <v>27</v>
      </c>
      <c r="P331">
        <v>1</v>
      </c>
      <c r="Q331">
        <v>1</v>
      </c>
      <c r="R331">
        <v>0</v>
      </c>
      <c r="S331">
        <v>21</v>
      </c>
      <c r="T331">
        <v>0</v>
      </c>
      <c r="U331">
        <v>0</v>
      </c>
      <c r="V331">
        <v>7.14</v>
      </c>
    </row>
    <row r="332" spans="1:22">
      <c r="A332" s="1" t="s">
        <v>378</v>
      </c>
      <c r="B332" s="1" t="s">
        <v>45</v>
      </c>
      <c r="C332" s="2">
        <v>46280</v>
      </c>
      <c r="D332" s="3">
        <v>0.54166666666666663</v>
      </c>
      <c r="E332">
        <v>82</v>
      </c>
      <c r="F332">
        <v>65</v>
      </c>
      <c r="G332">
        <v>5</v>
      </c>
      <c r="H332" s="1" t="s">
        <v>46</v>
      </c>
      <c r="I332">
        <v>18.5</v>
      </c>
      <c r="J332">
        <v>22</v>
      </c>
      <c r="K332" s="1" t="s">
        <v>47</v>
      </c>
      <c r="L332" s="1" t="s">
        <v>26</v>
      </c>
      <c r="M332">
        <v>0</v>
      </c>
      <c r="N332">
        <v>0</v>
      </c>
      <c r="O332" s="1" t="s">
        <v>27</v>
      </c>
      <c r="P332">
        <v>1</v>
      </c>
      <c r="Q332">
        <v>1</v>
      </c>
      <c r="R332">
        <v>10</v>
      </c>
      <c r="S332">
        <v>13</v>
      </c>
      <c r="T332">
        <v>0</v>
      </c>
      <c r="U332">
        <v>0</v>
      </c>
      <c r="V332">
        <v>4.43</v>
      </c>
    </row>
    <row r="333" spans="1:22">
      <c r="A333" s="1" t="s">
        <v>379</v>
      </c>
      <c r="B333" s="1" t="s">
        <v>45</v>
      </c>
      <c r="C333" s="2">
        <v>46283</v>
      </c>
      <c r="D333" s="3">
        <v>0.21875</v>
      </c>
      <c r="E333">
        <v>92</v>
      </c>
      <c r="F333">
        <v>91</v>
      </c>
      <c r="G333">
        <v>3</v>
      </c>
      <c r="H333" s="1" t="s">
        <v>46</v>
      </c>
      <c r="I333">
        <v>18.5</v>
      </c>
      <c r="J333">
        <v>22</v>
      </c>
      <c r="K333" s="1" t="s">
        <v>47</v>
      </c>
      <c r="L333" s="1" t="s">
        <v>49</v>
      </c>
      <c r="M333">
        <v>0</v>
      </c>
      <c r="N333">
        <v>0</v>
      </c>
      <c r="O333" s="1" t="s">
        <v>27</v>
      </c>
      <c r="P333">
        <v>1</v>
      </c>
      <c r="Q333">
        <v>1</v>
      </c>
      <c r="R333">
        <v>1</v>
      </c>
      <c r="S333">
        <v>5</v>
      </c>
      <c r="T333">
        <v>0</v>
      </c>
      <c r="U333">
        <v>0</v>
      </c>
      <c r="V333">
        <v>4.97</v>
      </c>
    </row>
    <row r="334" spans="1:22">
      <c r="A334" s="1" t="s">
        <v>380</v>
      </c>
      <c r="B334" s="1" t="s">
        <v>59</v>
      </c>
      <c r="C334" s="2">
        <v>46267</v>
      </c>
      <c r="D334" s="3">
        <v>0.83333333333333337</v>
      </c>
      <c r="E334">
        <v>152</v>
      </c>
      <c r="F334">
        <v>158</v>
      </c>
      <c r="G334">
        <v>5</v>
      </c>
      <c r="H334" s="1" t="s">
        <v>60</v>
      </c>
      <c r="I334">
        <v>24.8</v>
      </c>
      <c r="J334">
        <v>28</v>
      </c>
      <c r="K334" s="1" t="s">
        <v>61</v>
      </c>
      <c r="L334" s="1" t="s">
        <v>69</v>
      </c>
      <c r="M334">
        <v>0</v>
      </c>
      <c r="N334">
        <v>0</v>
      </c>
      <c r="O334" s="1" t="s">
        <v>27</v>
      </c>
      <c r="P334">
        <v>1</v>
      </c>
      <c r="Q334">
        <v>1</v>
      </c>
      <c r="R334">
        <v>10</v>
      </c>
      <c r="S334">
        <v>20</v>
      </c>
      <c r="T334">
        <v>0</v>
      </c>
      <c r="U334">
        <v>0</v>
      </c>
      <c r="V334">
        <v>6.13</v>
      </c>
    </row>
    <row r="335" spans="1:22">
      <c r="A335" s="1" t="s">
        <v>381</v>
      </c>
      <c r="B335" s="1" t="s">
        <v>29</v>
      </c>
      <c r="C335" s="2">
        <v>46287</v>
      </c>
      <c r="D335" s="3">
        <v>0.21875</v>
      </c>
      <c r="E335">
        <v>104</v>
      </c>
      <c r="F335">
        <v>110</v>
      </c>
      <c r="G335">
        <v>5</v>
      </c>
      <c r="H335" s="1" t="s">
        <v>30</v>
      </c>
      <c r="I335">
        <v>32</v>
      </c>
      <c r="J335">
        <v>14</v>
      </c>
      <c r="K335" s="1" t="s">
        <v>31</v>
      </c>
      <c r="L335" s="1" t="s">
        <v>26</v>
      </c>
      <c r="M335">
        <v>0</v>
      </c>
      <c r="N335">
        <v>0</v>
      </c>
      <c r="O335" s="1" t="s">
        <v>27</v>
      </c>
      <c r="P335">
        <v>1</v>
      </c>
      <c r="Q335">
        <v>1</v>
      </c>
      <c r="R335">
        <v>16</v>
      </c>
      <c r="S335">
        <v>5</v>
      </c>
      <c r="T335">
        <v>0</v>
      </c>
      <c r="U335">
        <v>0</v>
      </c>
      <c r="V335">
        <v>3.25</v>
      </c>
    </row>
    <row r="336" spans="1:22">
      <c r="A336" s="1" t="s">
        <v>382</v>
      </c>
      <c r="B336" s="1" t="s">
        <v>34</v>
      </c>
      <c r="C336" s="2">
        <v>46293</v>
      </c>
      <c r="D336" s="3">
        <v>0.92708333333333337</v>
      </c>
      <c r="E336">
        <v>136</v>
      </c>
      <c r="F336">
        <v>134</v>
      </c>
      <c r="G336">
        <v>4</v>
      </c>
      <c r="H336" s="1" t="s">
        <v>35</v>
      </c>
      <c r="I336">
        <v>12.2</v>
      </c>
      <c r="J336">
        <v>18</v>
      </c>
      <c r="K336" s="1" t="s">
        <v>36</v>
      </c>
      <c r="L336" s="1" t="s">
        <v>65</v>
      </c>
      <c r="M336">
        <v>0</v>
      </c>
      <c r="N336">
        <v>0</v>
      </c>
      <c r="O336" s="1" t="s">
        <v>27</v>
      </c>
      <c r="P336">
        <v>1</v>
      </c>
      <c r="Q336">
        <v>1</v>
      </c>
      <c r="R336">
        <v>1</v>
      </c>
      <c r="S336">
        <v>22</v>
      </c>
      <c r="T336">
        <v>0</v>
      </c>
      <c r="U336">
        <v>0</v>
      </c>
      <c r="V336">
        <v>11.15</v>
      </c>
    </row>
    <row r="337" spans="1:22">
      <c r="A337" s="1" t="s">
        <v>383</v>
      </c>
      <c r="B337" s="1" t="s">
        <v>34</v>
      </c>
      <c r="C337" s="2">
        <v>46282</v>
      </c>
      <c r="D337" s="3">
        <v>0.5</v>
      </c>
      <c r="E337">
        <v>130</v>
      </c>
      <c r="F337">
        <v>136</v>
      </c>
      <c r="G337">
        <v>6</v>
      </c>
      <c r="H337" s="1" t="s">
        <v>35</v>
      </c>
      <c r="I337">
        <v>12.2</v>
      </c>
      <c r="J337">
        <v>18</v>
      </c>
      <c r="K337" s="1" t="s">
        <v>36</v>
      </c>
      <c r="L337" s="1" t="s">
        <v>56</v>
      </c>
      <c r="M337">
        <v>0</v>
      </c>
      <c r="N337">
        <v>0</v>
      </c>
      <c r="O337" s="1" t="s">
        <v>27</v>
      </c>
      <c r="P337">
        <v>1</v>
      </c>
      <c r="Q337">
        <v>1</v>
      </c>
      <c r="R337">
        <v>7</v>
      </c>
      <c r="S337">
        <v>12</v>
      </c>
      <c r="T337">
        <v>0</v>
      </c>
      <c r="U337">
        <v>0</v>
      </c>
      <c r="V337">
        <v>10.66</v>
      </c>
    </row>
    <row r="338" spans="1:22">
      <c r="A338" s="1" t="s">
        <v>384</v>
      </c>
      <c r="B338" s="1" t="s">
        <v>29</v>
      </c>
      <c r="C338" s="2">
        <v>46283</v>
      </c>
      <c r="D338" s="3">
        <v>0.64583333333333337</v>
      </c>
      <c r="E338">
        <v>97</v>
      </c>
      <c r="F338">
        <v>93</v>
      </c>
      <c r="G338">
        <v>5</v>
      </c>
      <c r="H338" s="1" t="s">
        <v>30</v>
      </c>
      <c r="I338">
        <v>32</v>
      </c>
      <c r="J338">
        <v>14</v>
      </c>
      <c r="K338" s="1" t="s">
        <v>31</v>
      </c>
      <c r="L338" s="1" t="s">
        <v>49</v>
      </c>
      <c r="M338">
        <v>0</v>
      </c>
      <c r="N338">
        <v>0</v>
      </c>
      <c r="O338" s="1" t="s">
        <v>27</v>
      </c>
      <c r="P338">
        <v>1</v>
      </c>
      <c r="Q338">
        <v>1</v>
      </c>
      <c r="R338">
        <v>7</v>
      </c>
      <c r="S338">
        <v>15</v>
      </c>
      <c r="T338">
        <v>0</v>
      </c>
      <c r="U338">
        <v>0</v>
      </c>
      <c r="V338">
        <v>3.03</v>
      </c>
    </row>
    <row r="339" spans="1:22">
      <c r="A339" s="1" t="s">
        <v>385</v>
      </c>
      <c r="B339" s="1" t="s">
        <v>23</v>
      </c>
      <c r="C339" s="2">
        <v>46295</v>
      </c>
      <c r="D339" s="3">
        <v>0.28125</v>
      </c>
      <c r="E339">
        <v>112</v>
      </c>
      <c r="F339">
        <v>112</v>
      </c>
      <c r="G339">
        <v>5</v>
      </c>
      <c r="H339" s="1" t="s">
        <v>24</v>
      </c>
      <c r="I339">
        <v>15</v>
      </c>
      <c r="J339">
        <v>16</v>
      </c>
      <c r="K339" s="1" t="s">
        <v>25</v>
      </c>
      <c r="L339" s="1" t="s">
        <v>69</v>
      </c>
      <c r="M339">
        <v>0</v>
      </c>
      <c r="N339">
        <v>0</v>
      </c>
      <c r="O339" s="1" t="s">
        <v>27</v>
      </c>
      <c r="P339">
        <v>1</v>
      </c>
      <c r="Q339">
        <v>1</v>
      </c>
      <c r="R339">
        <v>1</v>
      </c>
      <c r="S339">
        <v>6</v>
      </c>
      <c r="T339">
        <v>0</v>
      </c>
      <c r="U339">
        <v>0</v>
      </c>
      <c r="V339">
        <v>7.47</v>
      </c>
    </row>
    <row r="340" spans="1:22">
      <c r="A340" s="1" t="s">
        <v>386</v>
      </c>
      <c r="B340" s="1" t="s">
        <v>45</v>
      </c>
      <c r="C340" s="2">
        <v>46271</v>
      </c>
      <c r="D340" s="3">
        <v>0.5</v>
      </c>
      <c r="E340">
        <v>121</v>
      </c>
      <c r="F340">
        <v>120</v>
      </c>
      <c r="G340">
        <v>5</v>
      </c>
      <c r="H340" s="1" t="s">
        <v>46</v>
      </c>
      <c r="I340">
        <v>18.5</v>
      </c>
      <c r="J340">
        <v>22</v>
      </c>
      <c r="K340" s="1" t="s">
        <v>47</v>
      </c>
      <c r="L340" s="1" t="s">
        <v>38</v>
      </c>
      <c r="M340">
        <v>1</v>
      </c>
      <c r="N340">
        <v>0</v>
      </c>
      <c r="O340" s="1" t="s">
        <v>27</v>
      </c>
      <c r="P340">
        <v>1</v>
      </c>
      <c r="Q340">
        <v>1</v>
      </c>
      <c r="R340">
        <v>5</v>
      </c>
      <c r="S340">
        <v>12</v>
      </c>
      <c r="T340">
        <v>0</v>
      </c>
      <c r="U340">
        <v>0</v>
      </c>
      <c r="V340">
        <v>6.54</v>
      </c>
    </row>
    <row r="341" spans="1:22">
      <c r="A341" s="1" t="s">
        <v>387</v>
      </c>
      <c r="B341" s="1" t="s">
        <v>45</v>
      </c>
      <c r="C341" s="2">
        <v>46284</v>
      </c>
      <c r="D341" s="3">
        <v>0.79166666666666663</v>
      </c>
      <c r="E341">
        <v>68</v>
      </c>
      <c r="F341">
        <v>71</v>
      </c>
      <c r="G341">
        <v>4</v>
      </c>
      <c r="H341" s="1" t="s">
        <v>46</v>
      </c>
      <c r="I341">
        <v>18.5</v>
      </c>
      <c r="J341">
        <v>22</v>
      </c>
      <c r="K341" s="1" t="s">
        <v>47</v>
      </c>
      <c r="L341" s="1" t="s">
        <v>32</v>
      </c>
      <c r="M341">
        <v>1</v>
      </c>
      <c r="N341">
        <v>1</v>
      </c>
      <c r="O341" s="1" t="s">
        <v>27</v>
      </c>
      <c r="P341">
        <v>1</v>
      </c>
      <c r="Q341">
        <v>1</v>
      </c>
      <c r="R341">
        <v>4</v>
      </c>
      <c r="S341">
        <v>19</v>
      </c>
      <c r="T341">
        <v>1</v>
      </c>
      <c r="U341">
        <v>0</v>
      </c>
      <c r="V341">
        <v>3.68</v>
      </c>
    </row>
    <row r="342" spans="1:22">
      <c r="A342" s="1" t="s">
        <v>388</v>
      </c>
      <c r="B342" s="1" t="s">
        <v>29</v>
      </c>
      <c r="C342" s="2">
        <v>46269</v>
      </c>
      <c r="D342" s="3">
        <v>0.72916666666666663</v>
      </c>
      <c r="E342">
        <v>174</v>
      </c>
      <c r="F342">
        <v>178</v>
      </c>
      <c r="G342">
        <v>7</v>
      </c>
      <c r="H342" s="1" t="s">
        <v>30</v>
      </c>
      <c r="I342">
        <v>32</v>
      </c>
      <c r="J342">
        <v>14</v>
      </c>
      <c r="K342" s="1" t="s">
        <v>31</v>
      </c>
      <c r="L342" s="1" t="s">
        <v>49</v>
      </c>
      <c r="M342">
        <v>0</v>
      </c>
      <c r="N342">
        <v>0</v>
      </c>
      <c r="O342" s="1" t="s">
        <v>27</v>
      </c>
      <c r="P342">
        <v>1</v>
      </c>
      <c r="Q342">
        <v>1</v>
      </c>
      <c r="R342">
        <v>3</v>
      </c>
      <c r="S342">
        <v>17</v>
      </c>
      <c r="T342">
        <v>1</v>
      </c>
      <c r="U342">
        <v>0</v>
      </c>
      <c r="V342">
        <v>5.44</v>
      </c>
    </row>
    <row r="343" spans="1:22">
      <c r="A343" s="1" t="s">
        <v>389</v>
      </c>
      <c r="B343" s="1" t="s">
        <v>29</v>
      </c>
      <c r="C343" s="2">
        <v>46266</v>
      </c>
      <c r="D343" s="3">
        <v>0.40625</v>
      </c>
      <c r="E343">
        <v>152</v>
      </c>
      <c r="F343">
        <v>144</v>
      </c>
      <c r="G343">
        <v>6</v>
      </c>
      <c r="H343" s="1" t="s">
        <v>30</v>
      </c>
      <c r="I343">
        <v>32</v>
      </c>
      <c r="J343">
        <v>14</v>
      </c>
      <c r="K343" s="1" t="s">
        <v>31</v>
      </c>
      <c r="L343" s="1" t="s">
        <v>26</v>
      </c>
      <c r="M343">
        <v>0</v>
      </c>
      <c r="N343">
        <v>0</v>
      </c>
      <c r="O343" s="1" t="s">
        <v>27</v>
      </c>
      <c r="P343">
        <v>1</v>
      </c>
      <c r="Q343">
        <v>1</v>
      </c>
      <c r="R343">
        <v>0</v>
      </c>
      <c r="S343">
        <v>9</v>
      </c>
      <c r="T343">
        <v>1</v>
      </c>
      <c r="U343">
        <v>0</v>
      </c>
      <c r="V343">
        <v>4.75</v>
      </c>
    </row>
    <row r="344" spans="1:22">
      <c r="A344" s="1" t="s">
        <v>390</v>
      </c>
      <c r="B344" s="1" t="s">
        <v>29</v>
      </c>
      <c r="C344" s="2">
        <v>46273</v>
      </c>
      <c r="D344" s="3">
        <v>0.66666666666666663</v>
      </c>
      <c r="E344">
        <v>156</v>
      </c>
      <c r="F344">
        <v>149</v>
      </c>
      <c r="G344">
        <v>4</v>
      </c>
      <c r="H344" s="1" t="s">
        <v>30</v>
      </c>
      <c r="I344">
        <v>32</v>
      </c>
      <c r="J344">
        <v>14</v>
      </c>
      <c r="K344" s="1" t="s">
        <v>31</v>
      </c>
      <c r="L344" s="1" t="s">
        <v>26</v>
      </c>
      <c r="M344">
        <v>0</v>
      </c>
      <c r="N344">
        <v>0</v>
      </c>
      <c r="O344" s="1" t="s">
        <v>27</v>
      </c>
      <c r="P344">
        <v>1</v>
      </c>
      <c r="Q344">
        <v>1</v>
      </c>
      <c r="R344">
        <v>1</v>
      </c>
      <c r="S344">
        <v>16</v>
      </c>
      <c r="T344">
        <v>0</v>
      </c>
      <c r="U344">
        <v>0</v>
      </c>
      <c r="V344">
        <v>4.88</v>
      </c>
    </row>
    <row r="345" spans="1:22">
      <c r="A345" s="1" t="s">
        <v>391</v>
      </c>
      <c r="B345" s="1" t="s">
        <v>29</v>
      </c>
      <c r="C345" s="2">
        <v>46294</v>
      </c>
      <c r="D345" s="3">
        <v>0.40625</v>
      </c>
      <c r="E345">
        <v>108</v>
      </c>
      <c r="F345">
        <v>107</v>
      </c>
      <c r="G345">
        <v>4</v>
      </c>
      <c r="H345" s="1" t="s">
        <v>30</v>
      </c>
      <c r="I345">
        <v>32</v>
      </c>
      <c r="J345">
        <v>14</v>
      </c>
      <c r="K345" s="1" t="s">
        <v>31</v>
      </c>
      <c r="L345" s="1" t="s">
        <v>26</v>
      </c>
      <c r="M345">
        <v>0</v>
      </c>
      <c r="N345">
        <v>0</v>
      </c>
      <c r="O345" s="1" t="s">
        <v>27</v>
      </c>
      <c r="P345">
        <v>1</v>
      </c>
      <c r="Q345">
        <v>1</v>
      </c>
      <c r="R345">
        <v>0</v>
      </c>
      <c r="S345">
        <v>9</v>
      </c>
      <c r="T345">
        <v>1</v>
      </c>
      <c r="U345">
        <v>0</v>
      </c>
      <c r="V345">
        <v>3.38</v>
      </c>
    </row>
    <row r="346" spans="1:22">
      <c r="A346" s="1" t="s">
        <v>392</v>
      </c>
      <c r="B346" s="1" t="s">
        <v>59</v>
      </c>
      <c r="C346" s="2">
        <v>46288</v>
      </c>
      <c r="D346" s="3">
        <v>0.73958333333333337</v>
      </c>
      <c r="E346">
        <v>149</v>
      </c>
      <c r="F346">
        <v>144</v>
      </c>
      <c r="G346">
        <v>6</v>
      </c>
      <c r="H346" s="1" t="s">
        <v>60</v>
      </c>
      <c r="I346">
        <v>24.8</v>
      </c>
      <c r="J346">
        <v>28</v>
      </c>
      <c r="K346" s="1" t="s">
        <v>61</v>
      </c>
      <c r="L346" s="1" t="s">
        <v>69</v>
      </c>
      <c r="M346">
        <v>0</v>
      </c>
      <c r="N346">
        <v>0</v>
      </c>
      <c r="O346" s="1" t="s">
        <v>27</v>
      </c>
      <c r="P346">
        <v>1</v>
      </c>
      <c r="Q346">
        <v>1</v>
      </c>
      <c r="R346">
        <v>2</v>
      </c>
      <c r="S346">
        <v>17</v>
      </c>
      <c r="T346">
        <v>1</v>
      </c>
      <c r="U346">
        <v>0</v>
      </c>
      <c r="V346">
        <v>6.01</v>
      </c>
    </row>
    <row r="347" spans="1:22">
      <c r="A347" s="1" t="s">
        <v>393</v>
      </c>
      <c r="B347" s="1" t="s">
        <v>45</v>
      </c>
      <c r="C347" s="2">
        <v>46272</v>
      </c>
      <c r="D347" s="3">
        <v>0.625</v>
      </c>
      <c r="E347">
        <v>83</v>
      </c>
      <c r="F347">
        <v>89</v>
      </c>
      <c r="G347">
        <v>4</v>
      </c>
      <c r="H347" s="1" t="s">
        <v>46</v>
      </c>
      <c r="I347">
        <v>18.5</v>
      </c>
      <c r="J347">
        <v>22</v>
      </c>
      <c r="K347" s="1" t="s">
        <v>47</v>
      </c>
      <c r="L347" s="1" t="s">
        <v>65</v>
      </c>
      <c r="M347">
        <v>0</v>
      </c>
      <c r="N347">
        <v>0</v>
      </c>
      <c r="O347" s="1" t="s">
        <v>27</v>
      </c>
      <c r="P347">
        <v>1</v>
      </c>
      <c r="Q347">
        <v>1</v>
      </c>
      <c r="R347">
        <v>0</v>
      </c>
      <c r="S347">
        <v>15</v>
      </c>
      <c r="T347">
        <v>0</v>
      </c>
      <c r="U347">
        <v>0</v>
      </c>
      <c r="V347">
        <v>4.49</v>
      </c>
    </row>
    <row r="348" spans="1:22">
      <c r="A348" s="1" t="s">
        <v>394</v>
      </c>
      <c r="B348" s="1" t="s">
        <v>29</v>
      </c>
      <c r="C348" s="2">
        <v>46268</v>
      </c>
      <c r="D348" s="3">
        <v>0.72916666666666663</v>
      </c>
      <c r="E348">
        <v>143</v>
      </c>
      <c r="F348">
        <v>152</v>
      </c>
      <c r="G348">
        <v>5</v>
      </c>
      <c r="H348" s="1" t="s">
        <v>30</v>
      </c>
      <c r="I348">
        <v>32</v>
      </c>
      <c r="J348">
        <v>14</v>
      </c>
      <c r="K348" s="1" t="s">
        <v>31</v>
      </c>
      <c r="L348" s="1" t="s">
        <v>56</v>
      </c>
      <c r="M348">
        <v>0</v>
      </c>
      <c r="N348">
        <v>0</v>
      </c>
      <c r="O348" s="1" t="s">
        <v>27</v>
      </c>
      <c r="P348">
        <v>1</v>
      </c>
      <c r="Q348">
        <v>1</v>
      </c>
      <c r="R348">
        <v>0</v>
      </c>
      <c r="S348">
        <v>17</v>
      </c>
      <c r="T348">
        <v>1</v>
      </c>
      <c r="U348">
        <v>0</v>
      </c>
      <c r="V348">
        <v>4.47</v>
      </c>
    </row>
    <row r="349" spans="1:22">
      <c r="A349" s="1" t="s">
        <v>395</v>
      </c>
      <c r="B349" s="1" t="s">
        <v>29</v>
      </c>
      <c r="C349" s="2">
        <v>46275</v>
      </c>
      <c r="D349" s="3">
        <v>0.32291666666666669</v>
      </c>
      <c r="E349">
        <v>117</v>
      </c>
      <c r="F349">
        <v>119</v>
      </c>
      <c r="G349">
        <v>6</v>
      </c>
      <c r="H349" s="1" t="s">
        <v>30</v>
      </c>
      <c r="I349">
        <v>32</v>
      </c>
      <c r="J349">
        <v>14</v>
      </c>
      <c r="K349" s="1" t="s">
        <v>31</v>
      </c>
      <c r="L349" s="1" t="s">
        <v>56</v>
      </c>
      <c r="M349">
        <v>0</v>
      </c>
      <c r="N349">
        <v>0</v>
      </c>
      <c r="O349" s="1" t="s">
        <v>27</v>
      </c>
      <c r="P349">
        <v>1</v>
      </c>
      <c r="Q349">
        <v>1</v>
      </c>
      <c r="R349">
        <v>4</v>
      </c>
      <c r="S349">
        <v>7</v>
      </c>
      <c r="T349">
        <v>0</v>
      </c>
      <c r="U349">
        <v>0</v>
      </c>
      <c r="V349">
        <v>3.66</v>
      </c>
    </row>
    <row r="350" spans="1:22">
      <c r="A350" s="1" t="s">
        <v>396</v>
      </c>
      <c r="B350" s="1" t="s">
        <v>45</v>
      </c>
      <c r="C350" s="2">
        <v>46275</v>
      </c>
      <c r="D350" s="3">
        <v>0.875</v>
      </c>
      <c r="E350">
        <v>197</v>
      </c>
      <c r="F350">
        <v>189</v>
      </c>
      <c r="G350">
        <v>5</v>
      </c>
      <c r="H350" s="1" t="s">
        <v>46</v>
      </c>
      <c r="I350">
        <v>18.5</v>
      </c>
      <c r="J350">
        <v>22</v>
      </c>
      <c r="K350" s="1" t="s">
        <v>47</v>
      </c>
      <c r="L350" s="1" t="s">
        <v>56</v>
      </c>
      <c r="M350">
        <v>0</v>
      </c>
      <c r="N350">
        <v>0</v>
      </c>
      <c r="O350" s="1" t="s">
        <v>27</v>
      </c>
      <c r="P350">
        <v>1</v>
      </c>
      <c r="Q350">
        <v>1</v>
      </c>
      <c r="R350">
        <v>1</v>
      </c>
      <c r="S350">
        <v>21</v>
      </c>
      <c r="T350">
        <v>0</v>
      </c>
      <c r="U350">
        <v>0</v>
      </c>
      <c r="V350">
        <v>10.65</v>
      </c>
    </row>
    <row r="351" spans="1:22">
      <c r="A351" s="1" t="s">
        <v>397</v>
      </c>
      <c r="B351" s="1" t="s">
        <v>29</v>
      </c>
      <c r="C351" s="2">
        <v>46284</v>
      </c>
      <c r="D351" s="3">
        <v>0.51041666666666663</v>
      </c>
      <c r="E351">
        <v>153</v>
      </c>
      <c r="F351">
        <v>143</v>
      </c>
      <c r="G351">
        <v>7</v>
      </c>
      <c r="H351" s="1" t="s">
        <v>30</v>
      </c>
      <c r="I351">
        <v>32</v>
      </c>
      <c r="J351">
        <v>14</v>
      </c>
      <c r="K351" s="1" t="s">
        <v>31</v>
      </c>
      <c r="L351" s="1" t="s">
        <v>32</v>
      </c>
      <c r="M351">
        <v>1</v>
      </c>
      <c r="N351">
        <v>1</v>
      </c>
      <c r="O351" s="1" t="s">
        <v>27</v>
      </c>
      <c r="P351">
        <v>1</v>
      </c>
      <c r="Q351">
        <v>1</v>
      </c>
      <c r="R351">
        <v>0</v>
      </c>
      <c r="S351">
        <v>12</v>
      </c>
      <c r="T351">
        <v>0</v>
      </c>
      <c r="U351">
        <v>0</v>
      </c>
      <c r="V351">
        <v>4.78</v>
      </c>
    </row>
    <row r="352" spans="1:22">
      <c r="A352" s="1" t="s">
        <v>398</v>
      </c>
      <c r="B352" s="1" t="s">
        <v>59</v>
      </c>
      <c r="C352" s="2">
        <v>46279</v>
      </c>
      <c r="D352" s="3">
        <v>0.78125</v>
      </c>
      <c r="E352">
        <v>20</v>
      </c>
      <c r="F352">
        <v>15</v>
      </c>
      <c r="G352">
        <v>3</v>
      </c>
      <c r="H352" s="1" t="s">
        <v>60</v>
      </c>
      <c r="I352">
        <v>24.8</v>
      </c>
      <c r="J352">
        <v>28</v>
      </c>
      <c r="K352" s="1" t="s">
        <v>61</v>
      </c>
      <c r="L352" s="1" t="s">
        <v>65</v>
      </c>
      <c r="M352">
        <v>0</v>
      </c>
      <c r="N352">
        <v>0</v>
      </c>
      <c r="O352" s="1" t="s">
        <v>27</v>
      </c>
      <c r="P352">
        <v>1</v>
      </c>
      <c r="Q352">
        <v>1</v>
      </c>
      <c r="R352">
        <v>5</v>
      </c>
      <c r="S352">
        <v>18</v>
      </c>
      <c r="T352">
        <v>1</v>
      </c>
      <c r="U352">
        <v>0</v>
      </c>
      <c r="V352">
        <v>0.81</v>
      </c>
    </row>
    <row r="353" spans="1:22">
      <c r="A353" s="1" t="s">
        <v>399</v>
      </c>
      <c r="B353" s="1" t="s">
        <v>29</v>
      </c>
      <c r="C353" s="2">
        <v>46267</v>
      </c>
      <c r="D353" s="3">
        <v>0.65625</v>
      </c>
      <c r="E353">
        <v>61</v>
      </c>
      <c r="F353">
        <v>51</v>
      </c>
      <c r="G353">
        <v>6</v>
      </c>
      <c r="H353" s="1" t="s">
        <v>30</v>
      </c>
      <c r="I353">
        <v>32</v>
      </c>
      <c r="J353">
        <v>14</v>
      </c>
      <c r="K353" s="1" t="s">
        <v>31</v>
      </c>
      <c r="L353" s="1" t="s">
        <v>69</v>
      </c>
      <c r="M353">
        <v>0</v>
      </c>
      <c r="N353">
        <v>0</v>
      </c>
      <c r="O353" s="1" t="s">
        <v>27</v>
      </c>
      <c r="P353">
        <v>1</v>
      </c>
      <c r="Q353">
        <v>1</v>
      </c>
      <c r="R353">
        <v>0</v>
      </c>
      <c r="S353">
        <v>15</v>
      </c>
      <c r="T353">
        <v>0</v>
      </c>
      <c r="U353">
        <v>0</v>
      </c>
      <c r="V353">
        <v>1.91</v>
      </c>
    </row>
    <row r="354" spans="1:22">
      <c r="A354" s="1" t="s">
        <v>400</v>
      </c>
      <c r="B354" s="1" t="s">
        <v>59</v>
      </c>
      <c r="C354" s="2">
        <v>46293</v>
      </c>
      <c r="D354" s="3">
        <v>0.8125</v>
      </c>
      <c r="E354">
        <v>56</v>
      </c>
      <c r="F354">
        <v>46</v>
      </c>
      <c r="G354">
        <v>4</v>
      </c>
      <c r="H354" s="1" t="s">
        <v>60</v>
      </c>
      <c r="I354">
        <v>24.8</v>
      </c>
      <c r="J354">
        <v>28</v>
      </c>
      <c r="K354" s="1" t="s">
        <v>61</v>
      </c>
      <c r="L354" s="1" t="s">
        <v>65</v>
      </c>
      <c r="M354">
        <v>0</v>
      </c>
      <c r="N354">
        <v>0</v>
      </c>
      <c r="O354" s="1" t="s">
        <v>27</v>
      </c>
      <c r="P354">
        <v>1</v>
      </c>
      <c r="Q354">
        <v>1</v>
      </c>
      <c r="R354">
        <v>0</v>
      </c>
      <c r="S354">
        <v>19</v>
      </c>
      <c r="T354">
        <v>1</v>
      </c>
      <c r="U354">
        <v>0</v>
      </c>
      <c r="V354">
        <v>2.2599999999999998</v>
      </c>
    </row>
    <row r="355" spans="1:22">
      <c r="A355" s="1" t="s">
        <v>401</v>
      </c>
      <c r="B355" s="1" t="s">
        <v>29</v>
      </c>
      <c r="C355" s="2">
        <v>46266</v>
      </c>
      <c r="D355" s="3">
        <v>0.47916666666666669</v>
      </c>
      <c r="E355">
        <v>84</v>
      </c>
      <c r="F355">
        <v>80</v>
      </c>
      <c r="G355">
        <v>4</v>
      </c>
      <c r="H355" s="1" t="s">
        <v>30</v>
      </c>
      <c r="I355">
        <v>32</v>
      </c>
      <c r="J355">
        <v>14</v>
      </c>
      <c r="K355" s="1" t="s">
        <v>31</v>
      </c>
      <c r="L355" s="1" t="s">
        <v>26</v>
      </c>
      <c r="M355">
        <v>0</v>
      </c>
      <c r="N355">
        <v>0</v>
      </c>
      <c r="O355" s="1" t="s">
        <v>27</v>
      </c>
      <c r="P355">
        <v>1</v>
      </c>
      <c r="Q355">
        <v>1</v>
      </c>
      <c r="R355">
        <v>14</v>
      </c>
      <c r="S355">
        <v>11</v>
      </c>
      <c r="T355">
        <v>0</v>
      </c>
      <c r="U355">
        <v>0</v>
      </c>
      <c r="V355">
        <v>2.62</v>
      </c>
    </row>
    <row r="356" spans="1:22">
      <c r="A356" s="1" t="s">
        <v>402</v>
      </c>
      <c r="B356" s="1" t="s">
        <v>59</v>
      </c>
      <c r="C356" s="2">
        <v>46288</v>
      </c>
      <c r="D356" s="3">
        <v>0.63541666666666663</v>
      </c>
      <c r="E356">
        <v>63</v>
      </c>
      <c r="F356">
        <v>66</v>
      </c>
      <c r="G356">
        <v>3</v>
      </c>
      <c r="H356" s="1" t="s">
        <v>60</v>
      </c>
      <c r="I356">
        <v>24.8</v>
      </c>
      <c r="J356">
        <v>28</v>
      </c>
      <c r="K356" s="1" t="s">
        <v>61</v>
      </c>
      <c r="L356" s="1" t="s">
        <v>69</v>
      </c>
      <c r="M356">
        <v>0</v>
      </c>
      <c r="N356">
        <v>0</v>
      </c>
      <c r="O356" s="1" t="s">
        <v>27</v>
      </c>
      <c r="P356">
        <v>1</v>
      </c>
      <c r="Q356">
        <v>1</v>
      </c>
      <c r="R356">
        <v>11</v>
      </c>
      <c r="S356">
        <v>15</v>
      </c>
      <c r="T356">
        <v>0</v>
      </c>
      <c r="U356">
        <v>0</v>
      </c>
      <c r="V356">
        <v>2.54</v>
      </c>
    </row>
    <row r="357" spans="1:22">
      <c r="A357" s="1" t="s">
        <v>403</v>
      </c>
      <c r="B357" s="1" t="s">
        <v>45</v>
      </c>
      <c r="C357" s="2">
        <v>46288</v>
      </c>
      <c r="D357" s="3">
        <v>0.375</v>
      </c>
      <c r="E357">
        <v>97</v>
      </c>
      <c r="F357">
        <v>106</v>
      </c>
      <c r="G357">
        <v>5</v>
      </c>
      <c r="H357" s="1" t="s">
        <v>46</v>
      </c>
      <c r="I357">
        <v>18.5</v>
      </c>
      <c r="J357">
        <v>22</v>
      </c>
      <c r="K357" s="1" t="s">
        <v>47</v>
      </c>
      <c r="L357" s="1" t="s">
        <v>69</v>
      </c>
      <c r="M357">
        <v>0</v>
      </c>
      <c r="N357">
        <v>0</v>
      </c>
      <c r="O357" s="1" t="s">
        <v>27</v>
      </c>
      <c r="P357">
        <v>1</v>
      </c>
      <c r="Q357">
        <v>1</v>
      </c>
      <c r="R357">
        <v>11</v>
      </c>
      <c r="S357">
        <v>9</v>
      </c>
      <c r="T357">
        <v>1</v>
      </c>
      <c r="U357">
        <v>0</v>
      </c>
      <c r="V357">
        <v>5.24</v>
      </c>
    </row>
    <row r="358" spans="1:22">
      <c r="A358" s="1" t="s">
        <v>404</v>
      </c>
      <c r="B358" s="1" t="s">
        <v>29</v>
      </c>
      <c r="C358" s="2">
        <v>46293</v>
      </c>
      <c r="D358" s="3">
        <v>0.53125</v>
      </c>
      <c r="E358">
        <v>43</v>
      </c>
      <c r="F358">
        <v>49</v>
      </c>
      <c r="G358">
        <v>3</v>
      </c>
      <c r="H358" s="1" t="s">
        <v>30</v>
      </c>
      <c r="I358">
        <v>32</v>
      </c>
      <c r="J358">
        <v>14</v>
      </c>
      <c r="K358" s="1" t="s">
        <v>31</v>
      </c>
      <c r="L358" s="1" t="s">
        <v>65</v>
      </c>
      <c r="M358">
        <v>0</v>
      </c>
      <c r="N358">
        <v>0</v>
      </c>
      <c r="O358" s="1" t="s">
        <v>27</v>
      </c>
      <c r="P358">
        <v>1</v>
      </c>
      <c r="Q358">
        <v>1</v>
      </c>
      <c r="R358">
        <v>12</v>
      </c>
      <c r="S358">
        <v>12</v>
      </c>
      <c r="T358">
        <v>0</v>
      </c>
      <c r="U358">
        <v>0</v>
      </c>
      <c r="V358">
        <v>1.34</v>
      </c>
    </row>
    <row r="359" spans="1:22">
      <c r="A359" s="1" t="s">
        <v>405</v>
      </c>
      <c r="B359" s="1" t="s">
        <v>45</v>
      </c>
      <c r="C359" s="2">
        <v>46283</v>
      </c>
      <c r="D359" s="3">
        <v>0.59375</v>
      </c>
      <c r="E359">
        <v>183</v>
      </c>
      <c r="F359">
        <v>183</v>
      </c>
      <c r="G359">
        <v>7</v>
      </c>
      <c r="H359" s="1" t="s">
        <v>46</v>
      </c>
      <c r="I359">
        <v>18.5</v>
      </c>
      <c r="J359">
        <v>22</v>
      </c>
      <c r="K359" s="1" t="s">
        <v>47</v>
      </c>
      <c r="L359" s="1" t="s">
        <v>49</v>
      </c>
      <c r="M359">
        <v>0</v>
      </c>
      <c r="N359">
        <v>0</v>
      </c>
      <c r="O359" s="1" t="s">
        <v>27</v>
      </c>
      <c r="P359">
        <v>1</v>
      </c>
      <c r="Q359">
        <v>1</v>
      </c>
      <c r="R359">
        <v>8</v>
      </c>
      <c r="S359">
        <v>14</v>
      </c>
      <c r="T359">
        <v>0</v>
      </c>
      <c r="U359">
        <v>0</v>
      </c>
      <c r="V359">
        <v>9.89</v>
      </c>
    </row>
    <row r="360" spans="1:22">
      <c r="A360" s="1" t="s">
        <v>406</v>
      </c>
      <c r="B360" s="1" t="s">
        <v>34</v>
      </c>
      <c r="C360" s="2">
        <v>46272</v>
      </c>
      <c r="D360" s="3">
        <v>0.82291666666666663</v>
      </c>
      <c r="E360">
        <v>167</v>
      </c>
      <c r="F360">
        <v>157</v>
      </c>
      <c r="G360">
        <v>5</v>
      </c>
      <c r="H360" s="1" t="s">
        <v>35</v>
      </c>
      <c r="I360">
        <v>12.2</v>
      </c>
      <c r="J360">
        <v>18</v>
      </c>
      <c r="K360" s="1" t="s">
        <v>36</v>
      </c>
      <c r="L360" s="1" t="s">
        <v>65</v>
      </c>
      <c r="M360">
        <v>0</v>
      </c>
      <c r="N360">
        <v>0</v>
      </c>
      <c r="O360" s="1" t="s">
        <v>27</v>
      </c>
      <c r="P360">
        <v>1</v>
      </c>
      <c r="Q360">
        <v>1</v>
      </c>
      <c r="R360">
        <v>4</v>
      </c>
      <c r="S360">
        <v>19</v>
      </c>
      <c r="T360">
        <v>1</v>
      </c>
      <c r="U360">
        <v>0</v>
      </c>
      <c r="V360">
        <v>13.69</v>
      </c>
    </row>
    <row r="361" spans="1:22">
      <c r="A361" s="1" t="s">
        <v>407</v>
      </c>
      <c r="B361" s="1" t="s">
        <v>45</v>
      </c>
      <c r="C361" s="2">
        <v>46294</v>
      </c>
      <c r="D361" s="3">
        <v>0.86458333333333337</v>
      </c>
      <c r="E361">
        <v>98</v>
      </c>
      <c r="F361">
        <v>111</v>
      </c>
      <c r="G361">
        <v>3</v>
      </c>
      <c r="H361" s="1" t="s">
        <v>46</v>
      </c>
      <c r="I361">
        <v>18.5</v>
      </c>
      <c r="J361">
        <v>22</v>
      </c>
      <c r="K361" s="1" t="s">
        <v>47</v>
      </c>
      <c r="L361" s="1" t="s">
        <v>26</v>
      </c>
      <c r="M361">
        <v>0</v>
      </c>
      <c r="N361">
        <v>0</v>
      </c>
      <c r="O361" s="1" t="s">
        <v>27</v>
      </c>
      <c r="P361">
        <v>1</v>
      </c>
      <c r="Q361">
        <v>1</v>
      </c>
      <c r="R361">
        <v>6</v>
      </c>
      <c r="S361">
        <v>20</v>
      </c>
      <c r="T361">
        <v>0</v>
      </c>
      <c r="U361">
        <v>0</v>
      </c>
      <c r="V361">
        <v>5.3</v>
      </c>
    </row>
    <row r="362" spans="1:22">
      <c r="A362" s="1" t="s">
        <v>408</v>
      </c>
      <c r="B362" s="1" t="s">
        <v>59</v>
      </c>
      <c r="C362" s="2">
        <v>46273</v>
      </c>
      <c r="D362" s="3">
        <v>0.89583333333333337</v>
      </c>
      <c r="E362">
        <v>117</v>
      </c>
      <c r="F362">
        <v>107</v>
      </c>
      <c r="G362">
        <v>5</v>
      </c>
      <c r="H362" s="1" t="s">
        <v>60</v>
      </c>
      <c r="I362">
        <v>24.8</v>
      </c>
      <c r="J362">
        <v>28</v>
      </c>
      <c r="K362" s="1" t="s">
        <v>61</v>
      </c>
      <c r="L362" s="1" t="s">
        <v>26</v>
      </c>
      <c r="M362">
        <v>0</v>
      </c>
      <c r="N362">
        <v>0</v>
      </c>
      <c r="O362" s="1" t="s">
        <v>27</v>
      </c>
      <c r="P362">
        <v>1</v>
      </c>
      <c r="Q362">
        <v>1</v>
      </c>
      <c r="R362">
        <v>2</v>
      </c>
      <c r="S362">
        <v>21</v>
      </c>
      <c r="T362">
        <v>0</v>
      </c>
      <c r="U362">
        <v>0</v>
      </c>
      <c r="V362">
        <v>4.72</v>
      </c>
    </row>
    <row r="363" spans="1:22">
      <c r="A363" s="1" t="s">
        <v>409</v>
      </c>
      <c r="B363" s="1" t="s">
        <v>45</v>
      </c>
      <c r="C363" s="2">
        <v>46266</v>
      </c>
      <c r="D363" s="3">
        <v>0.53125</v>
      </c>
      <c r="E363">
        <v>127</v>
      </c>
      <c r="F363">
        <v>132</v>
      </c>
      <c r="G363">
        <v>6</v>
      </c>
      <c r="H363" s="1" t="s">
        <v>46</v>
      </c>
      <c r="I363">
        <v>18.5</v>
      </c>
      <c r="J363">
        <v>22</v>
      </c>
      <c r="K363" s="1" t="s">
        <v>47</v>
      </c>
      <c r="L363" s="1" t="s">
        <v>26</v>
      </c>
      <c r="M363">
        <v>0</v>
      </c>
      <c r="N363">
        <v>0</v>
      </c>
      <c r="O363" s="1" t="s">
        <v>27</v>
      </c>
      <c r="P363">
        <v>1</v>
      </c>
      <c r="Q363">
        <v>1</v>
      </c>
      <c r="R363">
        <v>12</v>
      </c>
      <c r="S363">
        <v>12</v>
      </c>
      <c r="T363">
        <v>0</v>
      </c>
      <c r="U363">
        <v>0</v>
      </c>
      <c r="V363">
        <v>6.86</v>
      </c>
    </row>
    <row r="364" spans="1:22">
      <c r="A364" s="1" t="s">
        <v>410</v>
      </c>
      <c r="B364" s="1" t="s">
        <v>45</v>
      </c>
      <c r="C364" s="2">
        <v>46290</v>
      </c>
      <c r="D364" s="3">
        <v>0.5</v>
      </c>
      <c r="E364">
        <v>145</v>
      </c>
      <c r="F364">
        <v>150</v>
      </c>
      <c r="G364">
        <v>6</v>
      </c>
      <c r="H364" s="1" t="s">
        <v>46</v>
      </c>
      <c r="I364">
        <v>18.5</v>
      </c>
      <c r="J364">
        <v>22</v>
      </c>
      <c r="K364" s="1" t="s">
        <v>47</v>
      </c>
      <c r="L364" s="1" t="s">
        <v>49</v>
      </c>
      <c r="M364">
        <v>0</v>
      </c>
      <c r="N364">
        <v>0</v>
      </c>
      <c r="O364" s="1" t="s">
        <v>27</v>
      </c>
      <c r="P364">
        <v>1</v>
      </c>
      <c r="Q364">
        <v>1</v>
      </c>
      <c r="R364">
        <v>3</v>
      </c>
      <c r="S364">
        <v>12</v>
      </c>
      <c r="T364">
        <v>0</v>
      </c>
      <c r="U364">
        <v>0</v>
      </c>
      <c r="V364">
        <v>7.84</v>
      </c>
    </row>
    <row r="365" spans="1:22">
      <c r="A365" s="1" t="s">
        <v>411</v>
      </c>
      <c r="B365" s="1" t="s">
        <v>59</v>
      </c>
      <c r="C365" s="2">
        <v>46288</v>
      </c>
      <c r="D365" s="3">
        <v>0.55208333333333337</v>
      </c>
      <c r="E365">
        <v>179</v>
      </c>
      <c r="F365">
        <v>168</v>
      </c>
      <c r="G365">
        <v>6</v>
      </c>
      <c r="H365" s="1" t="s">
        <v>60</v>
      </c>
      <c r="I365">
        <v>24.8</v>
      </c>
      <c r="J365">
        <v>28</v>
      </c>
      <c r="K365" s="1" t="s">
        <v>61</v>
      </c>
      <c r="L365" s="1" t="s">
        <v>69</v>
      </c>
      <c r="M365">
        <v>0</v>
      </c>
      <c r="N365">
        <v>0</v>
      </c>
      <c r="O365" s="1" t="s">
        <v>27</v>
      </c>
      <c r="P365">
        <v>1</v>
      </c>
      <c r="Q365">
        <v>1</v>
      </c>
      <c r="R365">
        <v>3</v>
      </c>
      <c r="S365">
        <v>13</v>
      </c>
      <c r="T365">
        <v>0</v>
      </c>
      <c r="U365">
        <v>0</v>
      </c>
      <c r="V365">
        <v>7.22</v>
      </c>
    </row>
    <row r="366" spans="1:22">
      <c r="A366" s="1" t="s">
        <v>412</v>
      </c>
      <c r="B366" s="1" t="s">
        <v>29</v>
      </c>
      <c r="C366" s="2">
        <v>46268</v>
      </c>
      <c r="D366" s="3">
        <v>0.80208333333333337</v>
      </c>
      <c r="E366">
        <v>122</v>
      </c>
      <c r="F366">
        <v>126</v>
      </c>
      <c r="G366">
        <v>3</v>
      </c>
      <c r="H366" s="1" t="s">
        <v>30</v>
      </c>
      <c r="I366">
        <v>32</v>
      </c>
      <c r="J366">
        <v>14</v>
      </c>
      <c r="K366" s="1" t="s">
        <v>31</v>
      </c>
      <c r="L366" s="1" t="s">
        <v>56</v>
      </c>
      <c r="M366">
        <v>0</v>
      </c>
      <c r="N366">
        <v>0</v>
      </c>
      <c r="O366" s="1" t="s">
        <v>27</v>
      </c>
      <c r="P366">
        <v>1</v>
      </c>
      <c r="Q366">
        <v>1</v>
      </c>
      <c r="R366">
        <v>2</v>
      </c>
      <c r="S366">
        <v>19</v>
      </c>
      <c r="T366">
        <v>1</v>
      </c>
      <c r="U366">
        <v>0</v>
      </c>
      <c r="V366">
        <v>3.81</v>
      </c>
    </row>
    <row r="367" spans="1:22">
      <c r="A367" s="1" t="s">
        <v>413</v>
      </c>
      <c r="B367" s="1" t="s">
        <v>34</v>
      </c>
      <c r="C367" s="2">
        <v>46289</v>
      </c>
      <c r="D367" s="3">
        <v>0.29166666666666669</v>
      </c>
      <c r="E367">
        <v>55</v>
      </c>
      <c r="F367">
        <v>49</v>
      </c>
      <c r="G367">
        <v>3</v>
      </c>
      <c r="H367" s="1" t="s">
        <v>35</v>
      </c>
      <c r="I367">
        <v>12.2</v>
      </c>
      <c r="J367">
        <v>18</v>
      </c>
      <c r="K367" s="1" t="s">
        <v>36</v>
      </c>
      <c r="L367" s="1" t="s">
        <v>56</v>
      </c>
      <c r="M367">
        <v>0</v>
      </c>
      <c r="N367">
        <v>0</v>
      </c>
      <c r="O367" s="1" t="s">
        <v>27</v>
      </c>
      <c r="P367">
        <v>1</v>
      </c>
      <c r="Q367">
        <v>1</v>
      </c>
      <c r="R367">
        <v>18</v>
      </c>
      <c r="S367">
        <v>7</v>
      </c>
      <c r="T367">
        <v>0</v>
      </c>
      <c r="U367">
        <v>0</v>
      </c>
      <c r="V367">
        <v>4.51</v>
      </c>
    </row>
    <row r="368" spans="1:22">
      <c r="A368" s="1" t="s">
        <v>414</v>
      </c>
      <c r="B368" s="1" t="s">
        <v>45</v>
      </c>
      <c r="C368" s="2">
        <v>46288</v>
      </c>
      <c r="D368" s="3">
        <v>0.34375</v>
      </c>
      <c r="E368">
        <v>84</v>
      </c>
      <c r="F368">
        <v>83</v>
      </c>
      <c r="G368">
        <v>3</v>
      </c>
      <c r="H368" s="1" t="s">
        <v>46</v>
      </c>
      <c r="I368">
        <v>18.5</v>
      </c>
      <c r="J368">
        <v>22</v>
      </c>
      <c r="K368" s="1" t="s">
        <v>47</v>
      </c>
      <c r="L368" s="1" t="s">
        <v>69</v>
      </c>
      <c r="M368">
        <v>0</v>
      </c>
      <c r="N368">
        <v>0</v>
      </c>
      <c r="O368" s="1" t="s">
        <v>27</v>
      </c>
      <c r="P368">
        <v>1</v>
      </c>
      <c r="Q368">
        <v>1</v>
      </c>
      <c r="R368">
        <v>7</v>
      </c>
      <c r="S368">
        <v>8</v>
      </c>
      <c r="T368">
        <v>1</v>
      </c>
      <c r="U368">
        <v>0</v>
      </c>
      <c r="V368">
        <v>4.54</v>
      </c>
    </row>
    <row r="369" spans="1:22">
      <c r="A369" s="1" t="s">
        <v>415</v>
      </c>
      <c r="B369" s="1" t="s">
        <v>29</v>
      </c>
      <c r="C369" s="2">
        <v>46292</v>
      </c>
      <c r="D369" s="3">
        <v>0.34375</v>
      </c>
      <c r="E369">
        <v>74</v>
      </c>
      <c r="F369">
        <v>72</v>
      </c>
      <c r="G369">
        <v>2</v>
      </c>
      <c r="H369" s="1" t="s">
        <v>30</v>
      </c>
      <c r="I369">
        <v>32</v>
      </c>
      <c r="J369">
        <v>14</v>
      </c>
      <c r="K369" s="1" t="s">
        <v>31</v>
      </c>
      <c r="L369" s="1" t="s">
        <v>38</v>
      </c>
      <c r="M369">
        <v>1</v>
      </c>
      <c r="N369">
        <v>0</v>
      </c>
      <c r="O369" s="1" t="s">
        <v>134</v>
      </c>
      <c r="P369">
        <v>1</v>
      </c>
      <c r="Q369">
        <v>1</v>
      </c>
      <c r="R369">
        <v>1</v>
      </c>
      <c r="S369">
        <v>8</v>
      </c>
      <c r="T369">
        <v>1</v>
      </c>
      <c r="U369">
        <v>1</v>
      </c>
      <c r="V369">
        <v>2.31</v>
      </c>
    </row>
    <row r="370" spans="1:22">
      <c r="A370" s="1" t="s">
        <v>416</v>
      </c>
      <c r="B370" s="1" t="s">
        <v>45</v>
      </c>
      <c r="C370" s="2">
        <v>46294</v>
      </c>
      <c r="D370" s="3">
        <v>0.54166666666666663</v>
      </c>
      <c r="E370">
        <v>105</v>
      </c>
      <c r="F370">
        <v>84</v>
      </c>
      <c r="G370">
        <v>5</v>
      </c>
      <c r="H370" s="1" t="s">
        <v>46</v>
      </c>
      <c r="I370">
        <v>18.5</v>
      </c>
      <c r="J370">
        <v>22</v>
      </c>
      <c r="K370" s="1" t="s">
        <v>47</v>
      </c>
      <c r="L370" s="1" t="s">
        <v>26</v>
      </c>
      <c r="M370">
        <v>0</v>
      </c>
      <c r="N370">
        <v>0</v>
      </c>
      <c r="O370" s="1" t="s">
        <v>27</v>
      </c>
      <c r="P370">
        <v>1</v>
      </c>
      <c r="Q370">
        <v>1</v>
      </c>
      <c r="R370">
        <v>0</v>
      </c>
      <c r="S370">
        <v>13</v>
      </c>
      <c r="T370">
        <v>0</v>
      </c>
      <c r="U370">
        <v>0</v>
      </c>
      <c r="V370">
        <v>5.68</v>
      </c>
    </row>
    <row r="371" spans="1:22">
      <c r="A371" s="1" t="s">
        <v>417</v>
      </c>
      <c r="B371" s="1" t="s">
        <v>29</v>
      </c>
      <c r="C371" s="2">
        <v>46273</v>
      </c>
      <c r="D371" s="3">
        <v>0.92708333333333337</v>
      </c>
      <c r="E371">
        <v>104</v>
      </c>
      <c r="F371">
        <v>106</v>
      </c>
      <c r="G371">
        <v>6</v>
      </c>
      <c r="H371" s="1" t="s">
        <v>30</v>
      </c>
      <c r="I371">
        <v>32</v>
      </c>
      <c r="J371">
        <v>14</v>
      </c>
      <c r="K371" s="1" t="s">
        <v>31</v>
      </c>
      <c r="L371" s="1" t="s">
        <v>26</v>
      </c>
      <c r="M371">
        <v>0</v>
      </c>
      <c r="N371">
        <v>0</v>
      </c>
      <c r="O371" s="1" t="s">
        <v>27</v>
      </c>
      <c r="P371">
        <v>1</v>
      </c>
      <c r="Q371">
        <v>1</v>
      </c>
      <c r="R371">
        <v>4</v>
      </c>
      <c r="S371">
        <v>22</v>
      </c>
      <c r="T371">
        <v>0</v>
      </c>
      <c r="U371">
        <v>0</v>
      </c>
      <c r="V371">
        <v>3.25</v>
      </c>
    </row>
    <row r="372" spans="1:22">
      <c r="A372" s="1" t="s">
        <v>418</v>
      </c>
      <c r="B372" s="1" t="s">
        <v>45</v>
      </c>
      <c r="C372" s="2">
        <v>46287</v>
      </c>
      <c r="D372" s="3">
        <v>0.36458333333333331</v>
      </c>
      <c r="E372">
        <v>67</v>
      </c>
      <c r="F372">
        <v>64</v>
      </c>
      <c r="G372">
        <v>3</v>
      </c>
      <c r="H372" s="1" t="s">
        <v>46</v>
      </c>
      <c r="I372">
        <v>18.5</v>
      </c>
      <c r="J372">
        <v>22</v>
      </c>
      <c r="K372" s="1" t="s">
        <v>47</v>
      </c>
      <c r="L372" s="1" t="s">
        <v>26</v>
      </c>
      <c r="M372">
        <v>0</v>
      </c>
      <c r="N372">
        <v>0</v>
      </c>
      <c r="O372" s="1" t="s">
        <v>27</v>
      </c>
      <c r="P372">
        <v>1</v>
      </c>
      <c r="Q372">
        <v>1</v>
      </c>
      <c r="R372">
        <v>9</v>
      </c>
      <c r="S372">
        <v>8</v>
      </c>
      <c r="T372">
        <v>1</v>
      </c>
      <c r="U372">
        <v>0</v>
      </c>
      <c r="V372">
        <v>3.62</v>
      </c>
    </row>
    <row r="373" spans="1:22">
      <c r="A373" s="1" t="s">
        <v>419</v>
      </c>
      <c r="B373" s="1" t="s">
        <v>59</v>
      </c>
      <c r="C373" s="2">
        <v>46290</v>
      </c>
      <c r="D373" s="3">
        <v>0.51041666666666663</v>
      </c>
      <c r="E373">
        <v>172</v>
      </c>
      <c r="F373">
        <v>180</v>
      </c>
      <c r="G373">
        <v>6</v>
      </c>
      <c r="H373" s="1" t="s">
        <v>60</v>
      </c>
      <c r="I373">
        <v>24.8</v>
      </c>
      <c r="J373">
        <v>28</v>
      </c>
      <c r="K373" s="1" t="s">
        <v>61</v>
      </c>
      <c r="L373" s="1" t="s">
        <v>49</v>
      </c>
      <c r="M373">
        <v>0</v>
      </c>
      <c r="N373">
        <v>0</v>
      </c>
      <c r="O373" s="1" t="s">
        <v>27</v>
      </c>
      <c r="P373">
        <v>1</v>
      </c>
      <c r="Q373">
        <v>1</v>
      </c>
      <c r="R373">
        <v>39</v>
      </c>
      <c r="S373">
        <v>12</v>
      </c>
      <c r="T373">
        <v>0</v>
      </c>
      <c r="U373">
        <v>0</v>
      </c>
      <c r="V373">
        <v>6.94</v>
      </c>
    </row>
    <row r="374" spans="1:22">
      <c r="A374" s="1" t="s">
        <v>420</v>
      </c>
      <c r="B374" s="1" t="s">
        <v>34</v>
      </c>
      <c r="C374" s="2">
        <v>46280</v>
      </c>
      <c r="D374" s="3">
        <v>0.70833333333333337</v>
      </c>
      <c r="E374">
        <v>51</v>
      </c>
      <c r="F374">
        <v>43</v>
      </c>
      <c r="G374">
        <v>3</v>
      </c>
      <c r="H374" s="1" t="s">
        <v>35</v>
      </c>
      <c r="I374">
        <v>12.2</v>
      </c>
      <c r="J374">
        <v>18</v>
      </c>
      <c r="K374" s="1" t="s">
        <v>36</v>
      </c>
      <c r="L374" s="1" t="s">
        <v>26</v>
      </c>
      <c r="M374">
        <v>0</v>
      </c>
      <c r="N374">
        <v>0</v>
      </c>
      <c r="O374" s="1" t="s">
        <v>27</v>
      </c>
      <c r="P374">
        <v>1</v>
      </c>
      <c r="Q374">
        <v>1</v>
      </c>
      <c r="R374">
        <v>6</v>
      </c>
      <c r="S374">
        <v>17</v>
      </c>
      <c r="T374">
        <v>1</v>
      </c>
      <c r="U374">
        <v>0</v>
      </c>
      <c r="V374">
        <v>4.18</v>
      </c>
    </row>
    <row r="375" spans="1:22">
      <c r="A375" s="1" t="s">
        <v>421</v>
      </c>
      <c r="B375" s="1" t="s">
        <v>29</v>
      </c>
      <c r="C375" s="2">
        <v>46270</v>
      </c>
      <c r="D375" s="3">
        <v>0.86458333333333337</v>
      </c>
      <c r="E375">
        <v>120</v>
      </c>
      <c r="F375">
        <v>111</v>
      </c>
      <c r="G375">
        <v>5</v>
      </c>
      <c r="H375" s="1" t="s">
        <v>30</v>
      </c>
      <c r="I375">
        <v>32</v>
      </c>
      <c r="J375">
        <v>14</v>
      </c>
      <c r="K375" s="1" t="s">
        <v>31</v>
      </c>
      <c r="L375" s="1" t="s">
        <v>32</v>
      </c>
      <c r="M375">
        <v>1</v>
      </c>
      <c r="N375">
        <v>1</v>
      </c>
      <c r="O375" s="1" t="s">
        <v>27</v>
      </c>
      <c r="P375">
        <v>1</v>
      </c>
      <c r="Q375">
        <v>1</v>
      </c>
      <c r="R375">
        <v>0</v>
      </c>
      <c r="S375">
        <v>20</v>
      </c>
      <c r="T375">
        <v>0</v>
      </c>
      <c r="U375">
        <v>0</v>
      </c>
      <c r="V375">
        <v>3.75</v>
      </c>
    </row>
    <row r="376" spans="1:22">
      <c r="A376" s="1" t="s">
        <v>422</v>
      </c>
      <c r="B376" s="1" t="s">
        <v>23</v>
      </c>
      <c r="C376" s="2">
        <v>46268</v>
      </c>
      <c r="D376" s="3">
        <v>0.27083333333333331</v>
      </c>
      <c r="E376">
        <v>77</v>
      </c>
      <c r="F376">
        <v>87</v>
      </c>
      <c r="G376">
        <v>2</v>
      </c>
      <c r="H376" s="1" t="s">
        <v>24</v>
      </c>
      <c r="I376">
        <v>15</v>
      </c>
      <c r="J376">
        <v>16</v>
      </c>
      <c r="K376" s="1" t="s">
        <v>25</v>
      </c>
      <c r="L376" s="1" t="s">
        <v>56</v>
      </c>
      <c r="M376">
        <v>0</v>
      </c>
      <c r="N376">
        <v>0</v>
      </c>
      <c r="O376" s="1" t="s">
        <v>27</v>
      </c>
      <c r="P376">
        <v>1</v>
      </c>
      <c r="Q376">
        <v>1</v>
      </c>
      <c r="R376">
        <v>1</v>
      </c>
      <c r="S376">
        <v>6</v>
      </c>
      <c r="T376">
        <v>0</v>
      </c>
      <c r="U376">
        <v>0</v>
      </c>
      <c r="V376">
        <v>5.13</v>
      </c>
    </row>
    <row r="377" spans="1:22">
      <c r="A377" s="1" t="s">
        <v>423</v>
      </c>
      <c r="B377" s="1" t="s">
        <v>29</v>
      </c>
      <c r="C377" s="2">
        <v>46284</v>
      </c>
      <c r="D377" s="3">
        <v>0.60416666666666663</v>
      </c>
      <c r="E377">
        <v>85</v>
      </c>
      <c r="F377">
        <v>80</v>
      </c>
      <c r="G377">
        <v>5</v>
      </c>
      <c r="H377" s="1" t="s">
        <v>30</v>
      </c>
      <c r="I377">
        <v>32</v>
      </c>
      <c r="J377">
        <v>14</v>
      </c>
      <c r="K377" s="1" t="s">
        <v>31</v>
      </c>
      <c r="L377" s="1" t="s">
        <v>32</v>
      </c>
      <c r="M377">
        <v>1</v>
      </c>
      <c r="N377">
        <v>1</v>
      </c>
      <c r="O377" s="1" t="s">
        <v>27</v>
      </c>
      <c r="P377">
        <v>1</v>
      </c>
      <c r="Q377">
        <v>1</v>
      </c>
      <c r="R377">
        <v>17</v>
      </c>
      <c r="S377">
        <v>14</v>
      </c>
      <c r="T377">
        <v>0</v>
      </c>
      <c r="U377">
        <v>0</v>
      </c>
      <c r="V377">
        <v>2.66</v>
      </c>
    </row>
    <row r="378" spans="1:22">
      <c r="A378" s="1" t="s">
        <v>424</v>
      </c>
      <c r="B378" s="1" t="s">
        <v>45</v>
      </c>
      <c r="C378" s="2">
        <v>46266</v>
      </c>
      <c r="D378" s="3">
        <v>0.90625</v>
      </c>
      <c r="E378">
        <v>119</v>
      </c>
      <c r="F378">
        <v>105</v>
      </c>
      <c r="G378">
        <v>6</v>
      </c>
      <c r="H378" s="1" t="s">
        <v>46</v>
      </c>
      <c r="I378">
        <v>18.5</v>
      </c>
      <c r="J378">
        <v>22</v>
      </c>
      <c r="K378" s="1" t="s">
        <v>47</v>
      </c>
      <c r="L378" s="1" t="s">
        <v>26</v>
      </c>
      <c r="M378">
        <v>0</v>
      </c>
      <c r="N378">
        <v>0</v>
      </c>
      <c r="O378" s="1" t="s">
        <v>27</v>
      </c>
      <c r="P378">
        <v>1</v>
      </c>
      <c r="Q378">
        <v>1</v>
      </c>
      <c r="R378">
        <v>0</v>
      </c>
      <c r="S378">
        <v>21</v>
      </c>
      <c r="T378">
        <v>0</v>
      </c>
      <c r="U378">
        <v>0</v>
      </c>
      <c r="V378">
        <v>6.43</v>
      </c>
    </row>
    <row r="379" spans="1:22">
      <c r="A379" s="1" t="s">
        <v>425</v>
      </c>
      <c r="B379" s="1" t="s">
        <v>45</v>
      </c>
      <c r="C379" s="2">
        <v>46293</v>
      </c>
      <c r="D379" s="3">
        <v>0.9375</v>
      </c>
      <c r="E379">
        <v>125</v>
      </c>
      <c r="F379">
        <v>123</v>
      </c>
      <c r="G379">
        <v>4</v>
      </c>
      <c r="H379" s="1" t="s">
        <v>46</v>
      </c>
      <c r="I379">
        <v>18.5</v>
      </c>
      <c r="J379">
        <v>22</v>
      </c>
      <c r="K379" s="1" t="s">
        <v>47</v>
      </c>
      <c r="L379" s="1" t="s">
        <v>65</v>
      </c>
      <c r="M379">
        <v>0</v>
      </c>
      <c r="N379">
        <v>0</v>
      </c>
      <c r="O379" s="1" t="s">
        <v>27</v>
      </c>
      <c r="P379">
        <v>1</v>
      </c>
      <c r="Q379">
        <v>1</v>
      </c>
      <c r="R379">
        <v>5</v>
      </c>
      <c r="S379">
        <v>22</v>
      </c>
      <c r="T379">
        <v>0</v>
      </c>
      <c r="U379">
        <v>0</v>
      </c>
      <c r="V379">
        <v>6.76</v>
      </c>
    </row>
    <row r="380" spans="1:22">
      <c r="A380" s="1" t="s">
        <v>426</v>
      </c>
      <c r="B380" s="1" t="s">
        <v>29</v>
      </c>
      <c r="C380" s="2">
        <v>46280</v>
      </c>
      <c r="D380" s="3">
        <v>0.54166666666666663</v>
      </c>
      <c r="E380">
        <v>31</v>
      </c>
      <c r="F380">
        <v>35</v>
      </c>
      <c r="G380">
        <v>3</v>
      </c>
      <c r="H380" s="1" t="s">
        <v>30</v>
      </c>
      <c r="I380">
        <v>32</v>
      </c>
      <c r="J380">
        <v>14</v>
      </c>
      <c r="K380" s="1" t="s">
        <v>31</v>
      </c>
      <c r="L380" s="1" t="s">
        <v>26</v>
      </c>
      <c r="M380">
        <v>0</v>
      </c>
      <c r="N380">
        <v>0</v>
      </c>
      <c r="O380" s="1" t="s">
        <v>27</v>
      </c>
      <c r="P380">
        <v>1</v>
      </c>
      <c r="Q380">
        <v>1</v>
      </c>
      <c r="R380">
        <v>1</v>
      </c>
      <c r="S380">
        <v>13</v>
      </c>
      <c r="T380">
        <v>0</v>
      </c>
      <c r="U380">
        <v>0</v>
      </c>
      <c r="V380">
        <v>0.97</v>
      </c>
    </row>
    <row r="381" spans="1:22">
      <c r="A381" s="1" t="s">
        <v>427</v>
      </c>
      <c r="B381" s="1" t="s">
        <v>29</v>
      </c>
      <c r="C381" s="2">
        <v>46273</v>
      </c>
      <c r="D381" s="3">
        <v>0.52083333333333337</v>
      </c>
      <c r="E381">
        <v>43</v>
      </c>
      <c r="F381">
        <v>46</v>
      </c>
      <c r="G381">
        <v>3</v>
      </c>
      <c r="H381" s="1" t="s">
        <v>30</v>
      </c>
      <c r="I381">
        <v>32</v>
      </c>
      <c r="J381">
        <v>14</v>
      </c>
      <c r="K381" s="1" t="s">
        <v>31</v>
      </c>
      <c r="L381" s="1" t="s">
        <v>26</v>
      </c>
      <c r="M381">
        <v>0</v>
      </c>
      <c r="N381">
        <v>0</v>
      </c>
      <c r="O381" s="1" t="s">
        <v>27</v>
      </c>
      <c r="P381">
        <v>1</v>
      </c>
      <c r="Q381">
        <v>1</v>
      </c>
      <c r="R381">
        <v>1</v>
      </c>
      <c r="S381">
        <v>12</v>
      </c>
      <c r="T381">
        <v>0</v>
      </c>
      <c r="U381">
        <v>0</v>
      </c>
      <c r="V381">
        <v>1.34</v>
      </c>
    </row>
    <row r="382" spans="1:22">
      <c r="A382" s="1" t="s">
        <v>428</v>
      </c>
      <c r="B382" s="1" t="s">
        <v>29</v>
      </c>
      <c r="C382" s="2">
        <v>46267</v>
      </c>
      <c r="D382" s="3">
        <v>0.78125</v>
      </c>
      <c r="E382">
        <v>177</v>
      </c>
      <c r="F382">
        <v>177</v>
      </c>
      <c r="G382">
        <v>6</v>
      </c>
      <c r="H382" s="1" t="s">
        <v>30</v>
      </c>
      <c r="I382">
        <v>32</v>
      </c>
      <c r="J382">
        <v>14</v>
      </c>
      <c r="K382" s="1" t="s">
        <v>31</v>
      </c>
      <c r="L382" s="1" t="s">
        <v>69</v>
      </c>
      <c r="M382">
        <v>0</v>
      </c>
      <c r="N382">
        <v>0</v>
      </c>
      <c r="O382" s="1" t="s">
        <v>27</v>
      </c>
      <c r="P382">
        <v>1</v>
      </c>
      <c r="Q382">
        <v>1</v>
      </c>
      <c r="R382">
        <v>3</v>
      </c>
      <c r="S382">
        <v>18</v>
      </c>
      <c r="T382">
        <v>1</v>
      </c>
      <c r="U382">
        <v>0</v>
      </c>
      <c r="V382">
        <v>5.53</v>
      </c>
    </row>
    <row r="383" spans="1:22">
      <c r="A383" s="1" t="s">
        <v>429</v>
      </c>
      <c r="B383" s="1" t="s">
        <v>59</v>
      </c>
      <c r="C383" s="2">
        <v>46268</v>
      </c>
      <c r="D383" s="3">
        <v>0.92708333333333337</v>
      </c>
      <c r="E383">
        <v>119</v>
      </c>
      <c r="F383">
        <v>118</v>
      </c>
      <c r="G383">
        <v>4</v>
      </c>
      <c r="H383" s="1" t="s">
        <v>60</v>
      </c>
      <c r="I383">
        <v>24.8</v>
      </c>
      <c r="J383">
        <v>28</v>
      </c>
      <c r="K383" s="1" t="s">
        <v>61</v>
      </c>
      <c r="L383" s="1" t="s">
        <v>56</v>
      </c>
      <c r="M383">
        <v>0</v>
      </c>
      <c r="N383">
        <v>0</v>
      </c>
      <c r="O383" s="1" t="s">
        <v>27</v>
      </c>
      <c r="P383">
        <v>1</v>
      </c>
      <c r="Q383">
        <v>1</v>
      </c>
      <c r="R383">
        <v>2</v>
      </c>
      <c r="S383">
        <v>22</v>
      </c>
      <c r="T383">
        <v>0</v>
      </c>
      <c r="U383">
        <v>0</v>
      </c>
      <c r="V383">
        <v>4.8</v>
      </c>
    </row>
    <row r="384" spans="1:22">
      <c r="A384" s="1" t="s">
        <v>430</v>
      </c>
      <c r="B384" s="1" t="s">
        <v>23</v>
      </c>
      <c r="C384" s="2">
        <v>46289</v>
      </c>
      <c r="D384" s="3">
        <v>0.69791666666666663</v>
      </c>
      <c r="E384">
        <v>93</v>
      </c>
      <c r="F384">
        <v>100</v>
      </c>
      <c r="G384">
        <v>5</v>
      </c>
      <c r="H384" s="1" t="s">
        <v>24</v>
      </c>
      <c r="I384">
        <v>15</v>
      </c>
      <c r="J384">
        <v>16</v>
      </c>
      <c r="K384" s="1" t="s">
        <v>25</v>
      </c>
      <c r="L384" s="1" t="s">
        <v>56</v>
      </c>
      <c r="M384">
        <v>0</v>
      </c>
      <c r="N384">
        <v>0</v>
      </c>
      <c r="O384" s="1" t="s">
        <v>27</v>
      </c>
      <c r="P384">
        <v>1</v>
      </c>
      <c r="Q384">
        <v>1</v>
      </c>
      <c r="R384">
        <v>12</v>
      </c>
      <c r="S384">
        <v>16</v>
      </c>
      <c r="T384">
        <v>0</v>
      </c>
      <c r="U384">
        <v>0</v>
      </c>
      <c r="V384">
        <v>6.2</v>
      </c>
    </row>
    <row r="385" spans="1:22">
      <c r="A385" s="1" t="s">
        <v>431</v>
      </c>
      <c r="B385" s="1" t="s">
        <v>59</v>
      </c>
      <c r="C385" s="2">
        <v>46279</v>
      </c>
      <c r="D385" s="3">
        <v>0.75</v>
      </c>
      <c r="E385">
        <v>142</v>
      </c>
      <c r="F385">
        <v>127</v>
      </c>
      <c r="G385">
        <v>6</v>
      </c>
      <c r="H385" s="1" t="s">
        <v>60</v>
      </c>
      <c r="I385">
        <v>24.8</v>
      </c>
      <c r="J385">
        <v>28</v>
      </c>
      <c r="K385" s="1" t="s">
        <v>61</v>
      </c>
      <c r="L385" s="1" t="s">
        <v>65</v>
      </c>
      <c r="M385">
        <v>0</v>
      </c>
      <c r="N385">
        <v>0</v>
      </c>
      <c r="O385" s="1" t="s">
        <v>27</v>
      </c>
      <c r="P385">
        <v>1</v>
      </c>
      <c r="Q385">
        <v>1</v>
      </c>
      <c r="R385">
        <v>0</v>
      </c>
      <c r="S385">
        <v>18</v>
      </c>
      <c r="T385">
        <v>1</v>
      </c>
      <c r="U385">
        <v>0</v>
      </c>
      <c r="V385">
        <v>5.73</v>
      </c>
    </row>
    <row r="386" spans="1:22">
      <c r="A386" s="1" t="s">
        <v>432</v>
      </c>
      <c r="B386" s="1" t="s">
        <v>59</v>
      </c>
      <c r="C386" s="2">
        <v>46289</v>
      </c>
      <c r="D386" s="3">
        <v>0.30208333333333331</v>
      </c>
      <c r="E386">
        <v>44</v>
      </c>
      <c r="F386">
        <v>45</v>
      </c>
      <c r="G386">
        <v>2</v>
      </c>
      <c r="H386" s="1" t="s">
        <v>60</v>
      </c>
      <c r="I386">
        <v>24.8</v>
      </c>
      <c r="J386">
        <v>28</v>
      </c>
      <c r="K386" s="1" t="s">
        <v>61</v>
      </c>
      <c r="L386" s="1" t="s">
        <v>56</v>
      </c>
      <c r="M386">
        <v>0</v>
      </c>
      <c r="N386">
        <v>0</v>
      </c>
      <c r="O386" s="1" t="s">
        <v>27</v>
      </c>
      <c r="P386">
        <v>1</v>
      </c>
      <c r="Q386">
        <v>1</v>
      </c>
      <c r="R386">
        <v>9</v>
      </c>
      <c r="S386">
        <v>7</v>
      </c>
      <c r="T386">
        <v>0</v>
      </c>
      <c r="U386">
        <v>0</v>
      </c>
      <c r="V386">
        <v>1.77</v>
      </c>
    </row>
    <row r="387" spans="1:22">
      <c r="A387" s="1" t="s">
        <v>433</v>
      </c>
      <c r="B387" s="1" t="s">
        <v>59</v>
      </c>
      <c r="C387" s="2">
        <v>46279</v>
      </c>
      <c r="D387" s="3">
        <v>0.45833333333333331</v>
      </c>
      <c r="E387">
        <v>159</v>
      </c>
      <c r="F387">
        <v>159</v>
      </c>
      <c r="G387">
        <v>6</v>
      </c>
      <c r="H387" s="1" t="s">
        <v>60</v>
      </c>
      <c r="I387">
        <v>24.8</v>
      </c>
      <c r="J387">
        <v>28</v>
      </c>
      <c r="K387" s="1" t="s">
        <v>61</v>
      </c>
      <c r="L387" s="1" t="s">
        <v>65</v>
      </c>
      <c r="M387">
        <v>0</v>
      </c>
      <c r="N387">
        <v>0</v>
      </c>
      <c r="O387" s="1" t="s">
        <v>27</v>
      </c>
      <c r="P387">
        <v>1</v>
      </c>
      <c r="Q387">
        <v>1</v>
      </c>
      <c r="R387">
        <v>0</v>
      </c>
      <c r="S387">
        <v>11</v>
      </c>
      <c r="T387">
        <v>0</v>
      </c>
      <c r="U387">
        <v>0</v>
      </c>
      <c r="V387">
        <v>6.41</v>
      </c>
    </row>
    <row r="388" spans="1:22">
      <c r="A388" s="1" t="s">
        <v>434</v>
      </c>
      <c r="B388" s="1" t="s">
        <v>59</v>
      </c>
      <c r="C388" s="2">
        <v>46276</v>
      </c>
      <c r="D388" s="3">
        <v>0.66666666666666663</v>
      </c>
      <c r="E388">
        <v>69</v>
      </c>
      <c r="F388">
        <v>69</v>
      </c>
      <c r="G388">
        <v>3</v>
      </c>
      <c r="H388" s="1" t="s">
        <v>60</v>
      </c>
      <c r="I388">
        <v>24.8</v>
      </c>
      <c r="J388">
        <v>28</v>
      </c>
      <c r="K388" s="1" t="s">
        <v>61</v>
      </c>
      <c r="L388" s="1" t="s">
        <v>49</v>
      </c>
      <c r="M388">
        <v>0</v>
      </c>
      <c r="N388">
        <v>0</v>
      </c>
      <c r="O388" s="1" t="s">
        <v>27</v>
      </c>
      <c r="P388">
        <v>1</v>
      </c>
      <c r="Q388">
        <v>1</v>
      </c>
      <c r="R388">
        <v>4</v>
      </c>
      <c r="S388">
        <v>16</v>
      </c>
      <c r="T388">
        <v>0</v>
      </c>
      <c r="U388">
        <v>0</v>
      </c>
      <c r="V388">
        <v>2.78</v>
      </c>
    </row>
    <row r="389" spans="1:22">
      <c r="A389" s="1" t="s">
        <v>435</v>
      </c>
      <c r="B389" s="1" t="s">
        <v>59</v>
      </c>
      <c r="C389" s="2">
        <v>46281</v>
      </c>
      <c r="D389" s="3">
        <v>0.80208333333333337</v>
      </c>
      <c r="E389">
        <v>140</v>
      </c>
      <c r="F389">
        <v>138</v>
      </c>
      <c r="G389">
        <v>6</v>
      </c>
      <c r="H389" s="1" t="s">
        <v>60</v>
      </c>
      <c r="I389">
        <v>24.8</v>
      </c>
      <c r="J389">
        <v>28</v>
      </c>
      <c r="K389" s="1" t="s">
        <v>61</v>
      </c>
      <c r="L389" s="1" t="s">
        <v>69</v>
      </c>
      <c r="M389">
        <v>0</v>
      </c>
      <c r="N389">
        <v>0</v>
      </c>
      <c r="O389" s="1" t="s">
        <v>27</v>
      </c>
      <c r="P389">
        <v>1</v>
      </c>
      <c r="Q389">
        <v>1</v>
      </c>
      <c r="R389">
        <v>6</v>
      </c>
      <c r="S389">
        <v>19</v>
      </c>
      <c r="T389">
        <v>1</v>
      </c>
      <c r="U389">
        <v>0</v>
      </c>
      <c r="V389">
        <v>5.65</v>
      </c>
    </row>
    <row r="390" spans="1:22">
      <c r="A390" s="1" t="s">
        <v>436</v>
      </c>
      <c r="B390" s="1" t="s">
        <v>34</v>
      </c>
      <c r="C390" s="2">
        <v>46269</v>
      </c>
      <c r="D390" s="3">
        <v>0.71875</v>
      </c>
      <c r="E390">
        <v>143</v>
      </c>
      <c r="F390">
        <v>147</v>
      </c>
      <c r="G390">
        <v>5</v>
      </c>
      <c r="H390" s="1" t="s">
        <v>35</v>
      </c>
      <c r="I390">
        <v>12.2</v>
      </c>
      <c r="J390">
        <v>18</v>
      </c>
      <c r="K390" s="1" t="s">
        <v>36</v>
      </c>
      <c r="L390" s="1" t="s">
        <v>49</v>
      </c>
      <c r="M390">
        <v>0</v>
      </c>
      <c r="N390">
        <v>0</v>
      </c>
      <c r="O390" s="1" t="s">
        <v>27</v>
      </c>
      <c r="P390">
        <v>1</v>
      </c>
      <c r="Q390">
        <v>1</v>
      </c>
      <c r="R390">
        <v>1</v>
      </c>
      <c r="S390">
        <v>17</v>
      </c>
      <c r="T390">
        <v>1</v>
      </c>
      <c r="U390">
        <v>0</v>
      </c>
      <c r="V390">
        <v>11.72</v>
      </c>
    </row>
    <row r="391" spans="1:22">
      <c r="A391" s="1" t="s">
        <v>437</v>
      </c>
      <c r="B391" s="1" t="s">
        <v>29</v>
      </c>
      <c r="C391" s="2">
        <v>46285</v>
      </c>
      <c r="D391" s="3">
        <v>0.51041666666666663</v>
      </c>
      <c r="E391">
        <v>72</v>
      </c>
      <c r="F391">
        <v>81</v>
      </c>
      <c r="G391">
        <v>3</v>
      </c>
      <c r="H391" s="1" t="s">
        <v>30</v>
      </c>
      <c r="I391">
        <v>32</v>
      </c>
      <c r="J391">
        <v>14</v>
      </c>
      <c r="K391" s="1" t="s">
        <v>31</v>
      </c>
      <c r="L391" s="1" t="s">
        <v>38</v>
      </c>
      <c r="M391">
        <v>1</v>
      </c>
      <c r="N391">
        <v>0</v>
      </c>
      <c r="O391" s="1" t="s">
        <v>52</v>
      </c>
      <c r="P391">
        <v>1</v>
      </c>
      <c r="Q391">
        <v>1</v>
      </c>
      <c r="R391">
        <v>0</v>
      </c>
      <c r="S391">
        <v>12</v>
      </c>
      <c r="T391">
        <v>0</v>
      </c>
      <c r="U391">
        <v>1</v>
      </c>
      <c r="V391">
        <v>2.25</v>
      </c>
    </row>
    <row r="392" spans="1:22">
      <c r="A392" s="1" t="s">
        <v>438</v>
      </c>
      <c r="B392" s="1" t="s">
        <v>59</v>
      </c>
      <c r="C392" s="2">
        <v>46270</v>
      </c>
      <c r="D392" s="3">
        <v>0.51041666666666663</v>
      </c>
      <c r="E392">
        <v>122</v>
      </c>
      <c r="F392">
        <v>117</v>
      </c>
      <c r="G392">
        <v>3</v>
      </c>
      <c r="H392" s="1" t="s">
        <v>60</v>
      </c>
      <c r="I392">
        <v>24.8</v>
      </c>
      <c r="J392">
        <v>28</v>
      </c>
      <c r="K392" s="1" t="s">
        <v>61</v>
      </c>
      <c r="L392" s="1" t="s">
        <v>32</v>
      </c>
      <c r="M392">
        <v>1</v>
      </c>
      <c r="N392">
        <v>1</v>
      </c>
      <c r="O392" s="1" t="s">
        <v>27</v>
      </c>
      <c r="P392">
        <v>1</v>
      </c>
      <c r="Q392">
        <v>1</v>
      </c>
      <c r="R392">
        <v>3</v>
      </c>
      <c r="S392">
        <v>12</v>
      </c>
      <c r="T392">
        <v>0</v>
      </c>
      <c r="U392">
        <v>0</v>
      </c>
      <c r="V392">
        <v>4.92</v>
      </c>
    </row>
    <row r="393" spans="1:22">
      <c r="A393" s="1" t="s">
        <v>439</v>
      </c>
      <c r="B393" s="1" t="s">
        <v>29</v>
      </c>
      <c r="C393" s="2">
        <v>46287</v>
      </c>
      <c r="D393" s="3">
        <v>0.47916666666666669</v>
      </c>
      <c r="E393">
        <v>90</v>
      </c>
      <c r="F393">
        <v>96</v>
      </c>
      <c r="G393">
        <v>6</v>
      </c>
      <c r="H393" s="1" t="s">
        <v>30</v>
      </c>
      <c r="I393">
        <v>32</v>
      </c>
      <c r="J393">
        <v>14</v>
      </c>
      <c r="K393" s="1" t="s">
        <v>31</v>
      </c>
      <c r="L393" s="1" t="s">
        <v>26</v>
      </c>
      <c r="M393">
        <v>0</v>
      </c>
      <c r="N393">
        <v>0</v>
      </c>
      <c r="O393" s="1" t="s">
        <v>27</v>
      </c>
      <c r="P393">
        <v>1</v>
      </c>
      <c r="Q393">
        <v>1</v>
      </c>
      <c r="R393">
        <v>4</v>
      </c>
      <c r="S393">
        <v>11</v>
      </c>
      <c r="T393">
        <v>0</v>
      </c>
      <c r="U393">
        <v>0</v>
      </c>
      <c r="V393">
        <v>2.81</v>
      </c>
    </row>
    <row r="394" spans="1:22">
      <c r="A394" s="1" t="s">
        <v>440</v>
      </c>
      <c r="B394" s="1" t="s">
        <v>29</v>
      </c>
      <c r="C394" s="2">
        <v>46286</v>
      </c>
      <c r="D394" s="3">
        <v>0.69791666666666663</v>
      </c>
      <c r="E394">
        <v>110</v>
      </c>
      <c r="F394">
        <v>115</v>
      </c>
      <c r="G394">
        <v>4</v>
      </c>
      <c r="H394" s="1" t="s">
        <v>30</v>
      </c>
      <c r="I394">
        <v>32</v>
      </c>
      <c r="J394">
        <v>14</v>
      </c>
      <c r="K394" s="1" t="s">
        <v>31</v>
      </c>
      <c r="L394" s="1" t="s">
        <v>65</v>
      </c>
      <c r="M394">
        <v>0</v>
      </c>
      <c r="N394">
        <v>0</v>
      </c>
      <c r="O394" s="1" t="s">
        <v>27</v>
      </c>
      <c r="P394">
        <v>1</v>
      </c>
      <c r="Q394">
        <v>1</v>
      </c>
      <c r="R394">
        <v>5</v>
      </c>
      <c r="S394">
        <v>16</v>
      </c>
      <c r="T394">
        <v>0</v>
      </c>
      <c r="U394">
        <v>0</v>
      </c>
      <c r="V394">
        <v>3.44</v>
      </c>
    </row>
    <row r="395" spans="1:22">
      <c r="A395" s="1" t="s">
        <v>441</v>
      </c>
      <c r="B395" s="1" t="s">
        <v>45</v>
      </c>
      <c r="C395" s="2">
        <v>46279</v>
      </c>
      <c r="D395" s="3">
        <v>0.65625</v>
      </c>
      <c r="E395">
        <v>57</v>
      </c>
      <c r="F395">
        <v>60</v>
      </c>
      <c r="G395">
        <v>4</v>
      </c>
      <c r="H395" s="1" t="s">
        <v>46</v>
      </c>
      <c r="I395">
        <v>18.5</v>
      </c>
      <c r="J395">
        <v>22</v>
      </c>
      <c r="K395" s="1" t="s">
        <v>47</v>
      </c>
      <c r="L395" s="1" t="s">
        <v>65</v>
      </c>
      <c r="M395">
        <v>0</v>
      </c>
      <c r="N395">
        <v>0</v>
      </c>
      <c r="O395" s="1" t="s">
        <v>27</v>
      </c>
      <c r="P395">
        <v>1</v>
      </c>
      <c r="Q395">
        <v>1</v>
      </c>
      <c r="R395">
        <v>5</v>
      </c>
      <c r="S395">
        <v>15</v>
      </c>
      <c r="T395">
        <v>0</v>
      </c>
      <c r="U395">
        <v>0</v>
      </c>
      <c r="V395">
        <v>3.08</v>
      </c>
    </row>
    <row r="396" spans="1:22">
      <c r="A396" s="1" t="s">
        <v>442</v>
      </c>
      <c r="B396" s="1" t="s">
        <v>34</v>
      </c>
      <c r="C396" s="2">
        <v>46288</v>
      </c>
      <c r="D396" s="3">
        <v>0.625</v>
      </c>
      <c r="E396">
        <v>82</v>
      </c>
      <c r="F396">
        <v>81</v>
      </c>
      <c r="G396">
        <v>5</v>
      </c>
      <c r="H396" s="1" t="s">
        <v>35</v>
      </c>
      <c r="I396">
        <v>12.2</v>
      </c>
      <c r="J396">
        <v>18</v>
      </c>
      <c r="K396" s="1" t="s">
        <v>36</v>
      </c>
      <c r="L396" s="1" t="s">
        <v>69</v>
      </c>
      <c r="M396">
        <v>0</v>
      </c>
      <c r="N396">
        <v>0</v>
      </c>
      <c r="O396" s="1" t="s">
        <v>27</v>
      </c>
      <c r="P396">
        <v>1</v>
      </c>
      <c r="Q396">
        <v>1</v>
      </c>
      <c r="R396">
        <v>7</v>
      </c>
      <c r="S396">
        <v>15</v>
      </c>
      <c r="T396">
        <v>0</v>
      </c>
      <c r="U396">
        <v>0</v>
      </c>
      <c r="V396">
        <v>6.72</v>
      </c>
    </row>
    <row r="397" spans="1:22">
      <c r="A397" s="1" t="s">
        <v>443</v>
      </c>
      <c r="B397" s="1" t="s">
        <v>59</v>
      </c>
      <c r="C397" s="2">
        <v>46281</v>
      </c>
      <c r="D397" s="3">
        <v>0.71875</v>
      </c>
      <c r="E397">
        <v>99</v>
      </c>
      <c r="F397">
        <v>95</v>
      </c>
      <c r="G397">
        <v>6</v>
      </c>
      <c r="H397" s="1" t="s">
        <v>60</v>
      </c>
      <c r="I397">
        <v>24.8</v>
      </c>
      <c r="J397">
        <v>28</v>
      </c>
      <c r="K397" s="1" t="s">
        <v>61</v>
      </c>
      <c r="L397" s="1" t="s">
        <v>69</v>
      </c>
      <c r="M397">
        <v>0</v>
      </c>
      <c r="N397">
        <v>0</v>
      </c>
      <c r="O397" s="1" t="s">
        <v>27</v>
      </c>
      <c r="P397">
        <v>1</v>
      </c>
      <c r="Q397">
        <v>1</v>
      </c>
      <c r="R397">
        <v>0</v>
      </c>
      <c r="S397">
        <v>17</v>
      </c>
      <c r="T397">
        <v>1</v>
      </c>
      <c r="U397">
        <v>0</v>
      </c>
      <c r="V397">
        <v>3.99</v>
      </c>
    </row>
    <row r="398" spans="1:22">
      <c r="A398" s="1" t="s">
        <v>444</v>
      </c>
      <c r="B398" s="1" t="s">
        <v>45</v>
      </c>
      <c r="C398" s="2">
        <v>46283</v>
      </c>
      <c r="D398" s="3">
        <v>0.25</v>
      </c>
      <c r="E398">
        <v>40</v>
      </c>
      <c r="F398">
        <v>38</v>
      </c>
      <c r="G398">
        <v>3</v>
      </c>
      <c r="H398" s="1" t="s">
        <v>46</v>
      </c>
      <c r="I398">
        <v>18.5</v>
      </c>
      <c r="J398">
        <v>22</v>
      </c>
      <c r="K398" s="1" t="s">
        <v>47</v>
      </c>
      <c r="L398" s="1" t="s">
        <v>49</v>
      </c>
      <c r="M398">
        <v>0</v>
      </c>
      <c r="N398">
        <v>0</v>
      </c>
      <c r="O398" s="1" t="s">
        <v>27</v>
      </c>
      <c r="P398">
        <v>1</v>
      </c>
      <c r="Q398">
        <v>1</v>
      </c>
      <c r="R398">
        <v>17</v>
      </c>
      <c r="S398">
        <v>6</v>
      </c>
      <c r="T398">
        <v>0</v>
      </c>
      <c r="U398">
        <v>0</v>
      </c>
      <c r="V398">
        <v>2.16</v>
      </c>
    </row>
    <row r="399" spans="1:22">
      <c r="A399" s="1" t="s">
        <v>445</v>
      </c>
      <c r="B399" s="1" t="s">
        <v>29</v>
      </c>
      <c r="C399" s="2">
        <v>46272</v>
      </c>
      <c r="D399" s="3">
        <v>0.82291666666666663</v>
      </c>
      <c r="E399">
        <v>45</v>
      </c>
      <c r="F399">
        <v>34</v>
      </c>
      <c r="G399">
        <v>3</v>
      </c>
      <c r="H399" s="1" t="s">
        <v>30</v>
      </c>
      <c r="I399">
        <v>32</v>
      </c>
      <c r="J399">
        <v>14</v>
      </c>
      <c r="K399" s="1" t="s">
        <v>31</v>
      </c>
      <c r="L399" s="1" t="s">
        <v>65</v>
      </c>
      <c r="M399">
        <v>0</v>
      </c>
      <c r="N399">
        <v>0</v>
      </c>
      <c r="O399" s="1" t="s">
        <v>27</v>
      </c>
      <c r="P399">
        <v>1</v>
      </c>
      <c r="Q399">
        <v>1</v>
      </c>
      <c r="R399">
        <v>7</v>
      </c>
      <c r="S399">
        <v>19</v>
      </c>
      <c r="T399">
        <v>1</v>
      </c>
      <c r="U399">
        <v>0</v>
      </c>
      <c r="V399">
        <v>1.41</v>
      </c>
    </row>
    <row r="400" spans="1:22">
      <c r="A400" s="1" t="s">
        <v>446</v>
      </c>
      <c r="B400" s="1" t="s">
        <v>23</v>
      </c>
      <c r="C400" s="2">
        <v>46275</v>
      </c>
      <c r="D400" s="3">
        <v>0.9375</v>
      </c>
      <c r="E400">
        <v>113</v>
      </c>
      <c r="F400">
        <v>115</v>
      </c>
      <c r="G400">
        <v>5</v>
      </c>
      <c r="H400" s="1" t="s">
        <v>24</v>
      </c>
      <c r="I400">
        <v>15</v>
      </c>
      <c r="J400">
        <v>16</v>
      </c>
      <c r="K400" s="1" t="s">
        <v>25</v>
      </c>
      <c r="L400" s="1" t="s">
        <v>56</v>
      </c>
      <c r="M400">
        <v>0</v>
      </c>
      <c r="N400">
        <v>0</v>
      </c>
      <c r="O400" s="1" t="s">
        <v>27</v>
      </c>
      <c r="P400">
        <v>1</v>
      </c>
      <c r="Q400">
        <v>1</v>
      </c>
      <c r="R400">
        <v>4</v>
      </c>
      <c r="S400">
        <v>22</v>
      </c>
      <c r="T400">
        <v>0</v>
      </c>
      <c r="U400">
        <v>0</v>
      </c>
      <c r="V400">
        <v>7.53</v>
      </c>
    </row>
    <row r="401" spans="1:22">
      <c r="A401" s="1" t="s">
        <v>447</v>
      </c>
      <c r="B401" s="1" t="s">
        <v>45</v>
      </c>
      <c r="C401" s="2">
        <v>46272</v>
      </c>
      <c r="D401" s="3">
        <v>0.8125</v>
      </c>
      <c r="E401">
        <v>60</v>
      </c>
      <c r="F401">
        <v>56</v>
      </c>
      <c r="G401">
        <v>3</v>
      </c>
      <c r="H401" s="1" t="s">
        <v>46</v>
      </c>
      <c r="I401">
        <v>18.5</v>
      </c>
      <c r="J401">
        <v>22</v>
      </c>
      <c r="K401" s="1" t="s">
        <v>47</v>
      </c>
      <c r="L401" s="1" t="s">
        <v>65</v>
      </c>
      <c r="M401">
        <v>0</v>
      </c>
      <c r="N401">
        <v>0</v>
      </c>
      <c r="O401" s="1" t="s">
        <v>27</v>
      </c>
      <c r="P401">
        <v>1</v>
      </c>
      <c r="Q401">
        <v>1</v>
      </c>
      <c r="R401">
        <v>11</v>
      </c>
      <c r="S401">
        <v>19</v>
      </c>
      <c r="T401">
        <v>1</v>
      </c>
      <c r="U401">
        <v>0</v>
      </c>
      <c r="V401">
        <v>3.24</v>
      </c>
    </row>
    <row r="402" spans="1:22">
      <c r="A402" s="1" t="s">
        <v>448</v>
      </c>
      <c r="B402" s="1" t="s">
        <v>34</v>
      </c>
      <c r="C402" s="2">
        <v>46266</v>
      </c>
      <c r="D402" s="3">
        <v>0.66666666666666663</v>
      </c>
      <c r="E402">
        <v>126</v>
      </c>
      <c r="F402">
        <v>126</v>
      </c>
      <c r="G402">
        <v>4</v>
      </c>
      <c r="H402" s="1" t="s">
        <v>35</v>
      </c>
      <c r="I402">
        <v>12.2</v>
      </c>
      <c r="J402">
        <v>18</v>
      </c>
      <c r="K402" s="1" t="s">
        <v>36</v>
      </c>
      <c r="L402" s="1" t="s">
        <v>26</v>
      </c>
      <c r="M402">
        <v>0</v>
      </c>
      <c r="N402">
        <v>0</v>
      </c>
      <c r="O402" s="1" t="s">
        <v>27</v>
      </c>
      <c r="P402">
        <v>1</v>
      </c>
      <c r="Q402">
        <v>1</v>
      </c>
      <c r="R402">
        <v>2</v>
      </c>
      <c r="S402">
        <v>16</v>
      </c>
      <c r="T402">
        <v>0</v>
      </c>
      <c r="U402">
        <v>0</v>
      </c>
      <c r="V402">
        <v>10.33</v>
      </c>
    </row>
    <row r="403" spans="1:22">
      <c r="A403" s="1" t="s">
        <v>449</v>
      </c>
      <c r="B403" s="1" t="s">
        <v>29</v>
      </c>
      <c r="C403" s="2">
        <v>46288</v>
      </c>
      <c r="D403" s="3">
        <v>0.625</v>
      </c>
      <c r="E403">
        <v>145</v>
      </c>
      <c r="F403">
        <v>132</v>
      </c>
      <c r="G403">
        <v>5</v>
      </c>
      <c r="H403" s="1" t="s">
        <v>30</v>
      </c>
      <c r="I403">
        <v>32</v>
      </c>
      <c r="J403">
        <v>14</v>
      </c>
      <c r="K403" s="1" t="s">
        <v>31</v>
      </c>
      <c r="L403" s="1" t="s">
        <v>69</v>
      </c>
      <c r="M403">
        <v>0</v>
      </c>
      <c r="N403">
        <v>0</v>
      </c>
      <c r="O403" s="1" t="s">
        <v>27</v>
      </c>
      <c r="P403">
        <v>1</v>
      </c>
      <c r="Q403">
        <v>1</v>
      </c>
      <c r="R403">
        <v>3</v>
      </c>
      <c r="S403">
        <v>15</v>
      </c>
      <c r="T403">
        <v>0</v>
      </c>
      <c r="U403">
        <v>0</v>
      </c>
      <c r="V403">
        <v>4.53</v>
      </c>
    </row>
    <row r="404" spans="1:22">
      <c r="A404" s="1" t="s">
        <v>450</v>
      </c>
      <c r="B404" s="1" t="s">
        <v>34</v>
      </c>
      <c r="C404" s="2">
        <v>46286</v>
      </c>
      <c r="D404" s="3">
        <v>0.23958333333333334</v>
      </c>
      <c r="E404">
        <v>132</v>
      </c>
      <c r="F404">
        <v>128</v>
      </c>
      <c r="G404">
        <v>5</v>
      </c>
      <c r="H404" s="1" t="s">
        <v>35</v>
      </c>
      <c r="I404">
        <v>12.2</v>
      </c>
      <c r="J404">
        <v>18</v>
      </c>
      <c r="K404" s="1" t="s">
        <v>36</v>
      </c>
      <c r="L404" s="1" t="s">
        <v>65</v>
      </c>
      <c r="M404">
        <v>0</v>
      </c>
      <c r="N404">
        <v>0</v>
      </c>
      <c r="O404" s="1" t="s">
        <v>27</v>
      </c>
      <c r="P404">
        <v>1</v>
      </c>
      <c r="Q404">
        <v>1</v>
      </c>
      <c r="R404">
        <v>5</v>
      </c>
      <c r="S404">
        <v>5</v>
      </c>
      <c r="T404">
        <v>0</v>
      </c>
      <c r="U404">
        <v>0</v>
      </c>
      <c r="V404">
        <v>10.82</v>
      </c>
    </row>
    <row r="405" spans="1:22">
      <c r="A405" s="1" t="s">
        <v>451</v>
      </c>
      <c r="B405" s="1" t="s">
        <v>29</v>
      </c>
      <c r="C405" s="2">
        <v>46284</v>
      </c>
      <c r="D405" s="3">
        <v>0.3125</v>
      </c>
      <c r="E405">
        <v>181</v>
      </c>
      <c r="F405">
        <v>183</v>
      </c>
      <c r="G405">
        <v>7</v>
      </c>
      <c r="H405" s="1" t="s">
        <v>30</v>
      </c>
      <c r="I405">
        <v>32</v>
      </c>
      <c r="J405">
        <v>14</v>
      </c>
      <c r="K405" s="1" t="s">
        <v>31</v>
      </c>
      <c r="L405" s="1" t="s">
        <v>32</v>
      </c>
      <c r="M405">
        <v>1</v>
      </c>
      <c r="N405">
        <v>1</v>
      </c>
      <c r="O405" s="1" t="s">
        <v>27</v>
      </c>
      <c r="P405">
        <v>1</v>
      </c>
      <c r="Q405">
        <v>1</v>
      </c>
      <c r="R405">
        <v>4</v>
      </c>
      <c r="S405">
        <v>7</v>
      </c>
      <c r="T405">
        <v>0</v>
      </c>
      <c r="U405">
        <v>0</v>
      </c>
      <c r="V405">
        <v>5.66</v>
      </c>
    </row>
    <row r="406" spans="1:22">
      <c r="A406" s="1" t="s">
        <v>452</v>
      </c>
      <c r="B406" s="1" t="s">
        <v>29</v>
      </c>
      <c r="C406" s="2">
        <v>46281</v>
      </c>
      <c r="D406" s="3">
        <v>0.48958333333333331</v>
      </c>
      <c r="E406">
        <v>45</v>
      </c>
      <c r="F406">
        <v>30</v>
      </c>
      <c r="G406">
        <v>4</v>
      </c>
      <c r="H406" s="1" t="s">
        <v>30</v>
      </c>
      <c r="I406">
        <v>32</v>
      </c>
      <c r="J406">
        <v>14</v>
      </c>
      <c r="K406" s="1" t="s">
        <v>31</v>
      </c>
      <c r="L406" s="1" t="s">
        <v>69</v>
      </c>
      <c r="M406">
        <v>0</v>
      </c>
      <c r="N406">
        <v>0</v>
      </c>
      <c r="O406" s="1" t="s">
        <v>27</v>
      </c>
      <c r="P406">
        <v>1</v>
      </c>
      <c r="Q406">
        <v>1</v>
      </c>
      <c r="R406">
        <v>8</v>
      </c>
      <c r="S406">
        <v>11</v>
      </c>
      <c r="T406">
        <v>0</v>
      </c>
      <c r="U406">
        <v>0</v>
      </c>
      <c r="V406">
        <v>1.41</v>
      </c>
    </row>
    <row r="407" spans="1:22">
      <c r="A407" s="1" t="s">
        <v>453</v>
      </c>
      <c r="B407" s="1" t="s">
        <v>29</v>
      </c>
      <c r="C407" s="2">
        <v>46294</v>
      </c>
      <c r="D407" s="3">
        <v>0.79166666666666663</v>
      </c>
      <c r="E407">
        <v>103</v>
      </c>
      <c r="F407">
        <v>98</v>
      </c>
      <c r="G407">
        <v>5</v>
      </c>
      <c r="H407" s="1" t="s">
        <v>30</v>
      </c>
      <c r="I407">
        <v>32</v>
      </c>
      <c r="J407">
        <v>14</v>
      </c>
      <c r="K407" s="1" t="s">
        <v>31</v>
      </c>
      <c r="L407" s="1" t="s">
        <v>26</v>
      </c>
      <c r="M407">
        <v>0</v>
      </c>
      <c r="N407">
        <v>0</v>
      </c>
      <c r="O407" s="1" t="s">
        <v>27</v>
      </c>
      <c r="P407">
        <v>1</v>
      </c>
      <c r="Q407">
        <v>1</v>
      </c>
      <c r="R407">
        <v>11</v>
      </c>
      <c r="S407">
        <v>19</v>
      </c>
      <c r="T407">
        <v>1</v>
      </c>
      <c r="U407">
        <v>0</v>
      </c>
      <c r="V407">
        <v>3.22</v>
      </c>
    </row>
    <row r="408" spans="1:22">
      <c r="A408" s="1" t="s">
        <v>454</v>
      </c>
      <c r="B408" s="1" t="s">
        <v>45</v>
      </c>
      <c r="C408" s="2">
        <v>46284</v>
      </c>
      <c r="D408" s="3">
        <v>0.39583333333333331</v>
      </c>
      <c r="E408">
        <v>24</v>
      </c>
      <c r="F408">
        <v>21</v>
      </c>
      <c r="G408">
        <v>3</v>
      </c>
      <c r="H408" s="1" t="s">
        <v>46</v>
      </c>
      <c r="I408">
        <v>18.5</v>
      </c>
      <c r="J408">
        <v>22</v>
      </c>
      <c r="K408" s="1" t="s">
        <v>47</v>
      </c>
      <c r="L408" s="1" t="s">
        <v>32</v>
      </c>
      <c r="M408">
        <v>1</v>
      </c>
      <c r="N408">
        <v>1</v>
      </c>
      <c r="O408" s="1" t="s">
        <v>27</v>
      </c>
      <c r="P408">
        <v>1</v>
      </c>
      <c r="Q408">
        <v>1</v>
      </c>
      <c r="R408">
        <v>9</v>
      </c>
      <c r="S408">
        <v>9</v>
      </c>
      <c r="T408">
        <v>1</v>
      </c>
      <c r="U408">
        <v>0</v>
      </c>
      <c r="V408">
        <v>1.3</v>
      </c>
    </row>
    <row r="409" spans="1:22">
      <c r="A409" s="1" t="s">
        <v>455</v>
      </c>
      <c r="B409" s="1" t="s">
        <v>45</v>
      </c>
      <c r="C409" s="2">
        <v>46269</v>
      </c>
      <c r="D409" s="3">
        <v>0.51041666666666663</v>
      </c>
      <c r="E409">
        <v>161</v>
      </c>
      <c r="F409">
        <v>159</v>
      </c>
      <c r="G409">
        <v>5</v>
      </c>
      <c r="H409" s="1" t="s">
        <v>46</v>
      </c>
      <c r="I409">
        <v>18.5</v>
      </c>
      <c r="J409">
        <v>22</v>
      </c>
      <c r="K409" s="1" t="s">
        <v>47</v>
      </c>
      <c r="L409" s="1" t="s">
        <v>49</v>
      </c>
      <c r="M409">
        <v>0</v>
      </c>
      <c r="N409">
        <v>0</v>
      </c>
      <c r="O409" s="1" t="s">
        <v>27</v>
      </c>
      <c r="P409">
        <v>1</v>
      </c>
      <c r="Q409">
        <v>1</v>
      </c>
      <c r="R409">
        <v>18</v>
      </c>
      <c r="S409">
        <v>12</v>
      </c>
      <c r="T409">
        <v>0</v>
      </c>
      <c r="U409">
        <v>0</v>
      </c>
      <c r="V409">
        <v>8.6999999999999993</v>
      </c>
    </row>
    <row r="410" spans="1:22">
      <c r="A410" s="1" t="s">
        <v>456</v>
      </c>
      <c r="B410" s="1" t="s">
        <v>29</v>
      </c>
      <c r="C410" s="2">
        <v>46294</v>
      </c>
      <c r="D410" s="3">
        <v>0.86458333333333337</v>
      </c>
      <c r="E410">
        <v>83</v>
      </c>
      <c r="F410">
        <v>78</v>
      </c>
      <c r="G410">
        <v>4</v>
      </c>
      <c r="H410" s="1" t="s">
        <v>30</v>
      </c>
      <c r="I410">
        <v>32</v>
      </c>
      <c r="J410">
        <v>14</v>
      </c>
      <c r="K410" s="1" t="s">
        <v>31</v>
      </c>
      <c r="L410" s="1" t="s">
        <v>26</v>
      </c>
      <c r="M410">
        <v>0</v>
      </c>
      <c r="N410">
        <v>0</v>
      </c>
      <c r="O410" s="1" t="s">
        <v>27</v>
      </c>
      <c r="P410">
        <v>1</v>
      </c>
      <c r="Q410">
        <v>1</v>
      </c>
      <c r="R410">
        <v>14</v>
      </c>
      <c r="S410">
        <v>20</v>
      </c>
      <c r="T410">
        <v>0</v>
      </c>
      <c r="U410">
        <v>0</v>
      </c>
      <c r="V410">
        <v>2.59</v>
      </c>
    </row>
    <row r="411" spans="1:22">
      <c r="A411" s="1" t="s">
        <v>457</v>
      </c>
      <c r="B411" s="1" t="s">
        <v>29</v>
      </c>
      <c r="C411" s="2">
        <v>46293</v>
      </c>
      <c r="D411" s="3">
        <v>0.23958333333333334</v>
      </c>
      <c r="E411">
        <v>107</v>
      </c>
      <c r="F411">
        <v>97</v>
      </c>
      <c r="G411">
        <v>5</v>
      </c>
      <c r="H411" s="1" t="s">
        <v>30</v>
      </c>
      <c r="I411">
        <v>32</v>
      </c>
      <c r="J411">
        <v>14</v>
      </c>
      <c r="K411" s="1" t="s">
        <v>31</v>
      </c>
      <c r="L411" s="1" t="s">
        <v>65</v>
      </c>
      <c r="M411">
        <v>0</v>
      </c>
      <c r="N411">
        <v>0</v>
      </c>
      <c r="O411" s="1" t="s">
        <v>27</v>
      </c>
      <c r="P411">
        <v>1</v>
      </c>
      <c r="Q411">
        <v>1</v>
      </c>
      <c r="R411">
        <v>0</v>
      </c>
      <c r="S411">
        <v>5</v>
      </c>
      <c r="T411">
        <v>0</v>
      </c>
      <c r="U411">
        <v>0</v>
      </c>
      <c r="V411">
        <v>3.34</v>
      </c>
    </row>
    <row r="412" spans="1:22">
      <c r="A412" s="1" t="s">
        <v>458</v>
      </c>
      <c r="B412" s="1" t="s">
        <v>59</v>
      </c>
      <c r="C412" s="2">
        <v>46283</v>
      </c>
      <c r="D412" s="3">
        <v>0.39583333333333331</v>
      </c>
      <c r="E412">
        <v>147</v>
      </c>
      <c r="F412">
        <v>149</v>
      </c>
      <c r="G412">
        <v>5</v>
      </c>
      <c r="H412" s="1" t="s">
        <v>60</v>
      </c>
      <c r="I412">
        <v>24.8</v>
      </c>
      <c r="J412">
        <v>28</v>
      </c>
      <c r="K412" s="1" t="s">
        <v>61</v>
      </c>
      <c r="L412" s="1" t="s">
        <v>49</v>
      </c>
      <c r="M412">
        <v>0</v>
      </c>
      <c r="N412">
        <v>0</v>
      </c>
      <c r="O412" s="1" t="s">
        <v>27</v>
      </c>
      <c r="P412">
        <v>1</v>
      </c>
      <c r="Q412">
        <v>1</v>
      </c>
      <c r="R412">
        <v>5</v>
      </c>
      <c r="S412">
        <v>9</v>
      </c>
      <c r="T412">
        <v>1</v>
      </c>
      <c r="U412">
        <v>0</v>
      </c>
      <c r="V412">
        <v>5.93</v>
      </c>
    </row>
    <row r="413" spans="1:22">
      <c r="A413" s="1" t="s">
        <v>459</v>
      </c>
      <c r="B413" s="1" t="s">
        <v>34</v>
      </c>
      <c r="C413" s="2">
        <v>46267</v>
      </c>
      <c r="D413" s="3">
        <v>0.23958333333333334</v>
      </c>
      <c r="E413">
        <v>42</v>
      </c>
      <c r="F413">
        <v>38</v>
      </c>
      <c r="G413">
        <v>3</v>
      </c>
      <c r="H413" s="1" t="s">
        <v>35</v>
      </c>
      <c r="I413">
        <v>12.2</v>
      </c>
      <c r="J413">
        <v>18</v>
      </c>
      <c r="K413" s="1" t="s">
        <v>36</v>
      </c>
      <c r="L413" s="1" t="s">
        <v>69</v>
      </c>
      <c r="M413">
        <v>0</v>
      </c>
      <c r="N413">
        <v>0</v>
      </c>
      <c r="O413" s="1" t="s">
        <v>27</v>
      </c>
      <c r="P413">
        <v>1</v>
      </c>
      <c r="Q413">
        <v>1</v>
      </c>
      <c r="R413">
        <v>4</v>
      </c>
      <c r="S413">
        <v>5</v>
      </c>
      <c r="T413">
        <v>0</v>
      </c>
      <c r="U413">
        <v>0</v>
      </c>
      <c r="V413">
        <v>3.44</v>
      </c>
    </row>
    <row r="414" spans="1:22">
      <c r="A414" s="1" t="s">
        <v>460</v>
      </c>
      <c r="B414" s="1" t="s">
        <v>59</v>
      </c>
      <c r="C414" s="2">
        <v>46266</v>
      </c>
      <c r="D414" s="3">
        <v>0.52083333333333337</v>
      </c>
      <c r="E414">
        <v>81</v>
      </c>
      <c r="F414">
        <v>72</v>
      </c>
      <c r="G414">
        <v>3</v>
      </c>
      <c r="H414" s="1" t="s">
        <v>60</v>
      </c>
      <c r="I414">
        <v>24.8</v>
      </c>
      <c r="J414">
        <v>28</v>
      </c>
      <c r="K414" s="1" t="s">
        <v>61</v>
      </c>
      <c r="L414" s="1" t="s">
        <v>26</v>
      </c>
      <c r="M414">
        <v>0</v>
      </c>
      <c r="N414">
        <v>0</v>
      </c>
      <c r="O414" s="1" t="s">
        <v>27</v>
      </c>
      <c r="P414">
        <v>1</v>
      </c>
      <c r="Q414">
        <v>1</v>
      </c>
      <c r="R414">
        <v>1</v>
      </c>
      <c r="S414">
        <v>12</v>
      </c>
      <c r="T414">
        <v>0</v>
      </c>
      <c r="U414">
        <v>0</v>
      </c>
      <c r="V414">
        <v>3.27</v>
      </c>
    </row>
    <row r="415" spans="1:22">
      <c r="A415" s="1" t="s">
        <v>461</v>
      </c>
      <c r="B415" s="1" t="s">
        <v>34</v>
      </c>
      <c r="C415" s="2">
        <v>46280</v>
      </c>
      <c r="D415" s="3">
        <v>0.59375</v>
      </c>
      <c r="E415">
        <v>97</v>
      </c>
      <c r="F415">
        <v>94</v>
      </c>
      <c r="G415">
        <v>3</v>
      </c>
      <c r="H415" s="1" t="s">
        <v>35</v>
      </c>
      <c r="I415">
        <v>12.2</v>
      </c>
      <c r="J415">
        <v>18</v>
      </c>
      <c r="K415" s="1" t="s">
        <v>36</v>
      </c>
      <c r="L415" s="1" t="s">
        <v>26</v>
      </c>
      <c r="M415">
        <v>0</v>
      </c>
      <c r="N415">
        <v>0</v>
      </c>
      <c r="O415" s="1" t="s">
        <v>27</v>
      </c>
      <c r="P415">
        <v>1</v>
      </c>
      <c r="Q415">
        <v>1</v>
      </c>
      <c r="R415">
        <v>2</v>
      </c>
      <c r="S415">
        <v>14</v>
      </c>
      <c r="T415">
        <v>0</v>
      </c>
      <c r="U415">
        <v>0</v>
      </c>
      <c r="V415">
        <v>7.95</v>
      </c>
    </row>
    <row r="416" spans="1:22">
      <c r="A416" s="1" t="s">
        <v>462</v>
      </c>
      <c r="B416" s="1" t="s">
        <v>59</v>
      </c>
      <c r="C416" s="2">
        <v>46270</v>
      </c>
      <c r="D416" s="3">
        <v>0.625</v>
      </c>
      <c r="E416">
        <v>151</v>
      </c>
      <c r="F416">
        <v>143</v>
      </c>
      <c r="G416">
        <v>6</v>
      </c>
      <c r="H416" s="1" t="s">
        <v>60</v>
      </c>
      <c r="I416">
        <v>24.8</v>
      </c>
      <c r="J416">
        <v>28</v>
      </c>
      <c r="K416" s="1" t="s">
        <v>61</v>
      </c>
      <c r="L416" s="1" t="s">
        <v>32</v>
      </c>
      <c r="M416">
        <v>1</v>
      </c>
      <c r="N416">
        <v>1</v>
      </c>
      <c r="O416" s="1" t="s">
        <v>27</v>
      </c>
      <c r="P416">
        <v>1</v>
      </c>
      <c r="Q416">
        <v>1</v>
      </c>
      <c r="R416">
        <v>6</v>
      </c>
      <c r="S416">
        <v>15</v>
      </c>
      <c r="T416">
        <v>0</v>
      </c>
      <c r="U416">
        <v>0</v>
      </c>
      <c r="V416">
        <v>6.09</v>
      </c>
    </row>
    <row r="417" spans="1:22">
      <c r="A417" s="1" t="s">
        <v>463</v>
      </c>
      <c r="B417" s="1" t="s">
        <v>29</v>
      </c>
      <c r="C417" s="2">
        <v>46285</v>
      </c>
      <c r="D417" s="3">
        <v>0.58333333333333337</v>
      </c>
      <c r="E417">
        <v>67</v>
      </c>
      <c r="F417">
        <v>70</v>
      </c>
      <c r="G417">
        <v>5</v>
      </c>
      <c r="H417" s="1" t="s">
        <v>30</v>
      </c>
      <c r="I417">
        <v>32</v>
      </c>
      <c r="J417">
        <v>14</v>
      </c>
      <c r="K417" s="1" t="s">
        <v>31</v>
      </c>
      <c r="L417" s="1" t="s">
        <v>38</v>
      </c>
      <c r="M417">
        <v>1</v>
      </c>
      <c r="N417">
        <v>0</v>
      </c>
      <c r="O417" s="1" t="s">
        <v>52</v>
      </c>
      <c r="P417">
        <v>1</v>
      </c>
      <c r="Q417">
        <v>1</v>
      </c>
      <c r="R417">
        <v>31</v>
      </c>
      <c r="S417">
        <v>14</v>
      </c>
      <c r="T417">
        <v>0</v>
      </c>
      <c r="U417">
        <v>1</v>
      </c>
      <c r="V417">
        <v>2.09</v>
      </c>
    </row>
    <row r="418" spans="1:22">
      <c r="A418" s="1" t="s">
        <v>464</v>
      </c>
      <c r="B418" s="1" t="s">
        <v>29</v>
      </c>
      <c r="C418" s="2">
        <v>46276</v>
      </c>
      <c r="D418" s="3">
        <v>0.77083333333333337</v>
      </c>
      <c r="E418">
        <v>148</v>
      </c>
      <c r="F418">
        <v>136</v>
      </c>
      <c r="G418">
        <v>5</v>
      </c>
      <c r="H418" s="1" t="s">
        <v>30</v>
      </c>
      <c r="I418">
        <v>32</v>
      </c>
      <c r="J418">
        <v>14</v>
      </c>
      <c r="K418" s="1" t="s">
        <v>31</v>
      </c>
      <c r="L418" s="1" t="s">
        <v>49</v>
      </c>
      <c r="M418">
        <v>0</v>
      </c>
      <c r="N418">
        <v>0</v>
      </c>
      <c r="O418" s="1" t="s">
        <v>27</v>
      </c>
      <c r="P418">
        <v>1</v>
      </c>
      <c r="Q418">
        <v>1</v>
      </c>
      <c r="R418">
        <v>10</v>
      </c>
      <c r="S418">
        <v>18</v>
      </c>
      <c r="T418">
        <v>1</v>
      </c>
      <c r="U418">
        <v>0</v>
      </c>
      <c r="V418">
        <v>4.62</v>
      </c>
    </row>
    <row r="419" spans="1:22">
      <c r="A419" s="1" t="s">
        <v>465</v>
      </c>
      <c r="B419" s="1" t="s">
        <v>45</v>
      </c>
      <c r="C419" s="2">
        <v>46275</v>
      </c>
      <c r="D419" s="3">
        <v>0.25</v>
      </c>
      <c r="E419">
        <v>102</v>
      </c>
      <c r="F419">
        <v>95</v>
      </c>
      <c r="G419">
        <v>4</v>
      </c>
      <c r="H419" s="1" t="s">
        <v>46</v>
      </c>
      <c r="I419">
        <v>18.5</v>
      </c>
      <c r="J419">
        <v>22</v>
      </c>
      <c r="K419" s="1" t="s">
        <v>47</v>
      </c>
      <c r="L419" s="1" t="s">
        <v>56</v>
      </c>
      <c r="M419">
        <v>0</v>
      </c>
      <c r="N419">
        <v>0</v>
      </c>
      <c r="O419" s="1" t="s">
        <v>27</v>
      </c>
      <c r="P419">
        <v>1</v>
      </c>
      <c r="Q419">
        <v>1</v>
      </c>
      <c r="R419">
        <v>11</v>
      </c>
      <c r="S419">
        <v>6</v>
      </c>
      <c r="T419">
        <v>0</v>
      </c>
      <c r="U419">
        <v>0</v>
      </c>
      <c r="V419">
        <v>5.51</v>
      </c>
    </row>
    <row r="420" spans="1:22">
      <c r="A420" s="1" t="s">
        <v>466</v>
      </c>
      <c r="B420" s="1" t="s">
        <v>34</v>
      </c>
      <c r="C420" s="2">
        <v>46267</v>
      </c>
      <c r="D420" s="3">
        <v>0.83333333333333337</v>
      </c>
      <c r="E420">
        <v>78</v>
      </c>
      <c r="F420">
        <v>66</v>
      </c>
      <c r="G420">
        <v>5</v>
      </c>
      <c r="H420" s="1" t="s">
        <v>35</v>
      </c>
      <c r="I420">
        <v>12.2</v>
      </c>
      <c r="J420">
        <v>18</v>
      </c>
      <c r="K420" s="1" t="s">
        <v>36</v>
      </c>
      <c r="L420" s="1" t="s">
        <v>69</v>
      </c>
      <c r="M420">
        <v>0</v>
      </c>
      <c r="N420">
        <v>0</v>
      </c>
      <c r="O420" s="1" t="s">
        <v>27</v>
      </c>
      <c r="P420">
        <v>1</v>
      </c>
      <c r="Q420">
        <v>1</v>
      </c>
      <c r="R420">
        <v>1</v>
      </c>
      <c r="S420">
        <v>20</v>
      </c>
      <c r="T420">
        <v>0</v>
      </c>
      <c r="U420">
        <v>0</v>
      </c>
      <c r="V420">
        <v>6.39</v>
      </c>
    </row>
    <row r="421" spans="1:22">
      <c r="A421" s="1" t="s">
        <v>467</v>
      </c>
      <c r="B421" s="1" t="s">
        <v>34</v>
      </c>
      <c r="C421" s="2">
        <v>46268</v>
      </c>
      <c r="D421" s="3">
        <v>0.57291666666666663</v>
      </c>
      <c r="E421">
        <v>119</v>
      </c>
      <c r="F421">
        <v>116</v>
      </c>
      <c r="G421">
        <v>4</v>
      </c>
      <c r="H421" s="1" t="s">
        <v>35</v>
      </c>
      <c r="I421">
        <v>12.2</v>
      </c>
      <c r="J421">
        <v>18</v>
      </c>
      <c r="K421" s="1" t="s">
        <v>36</v>
      </c>
      <c r="L421" s="1" t="s">
        <v>56</v>
      </c>
      <c r="M421">
        <v>0</v>
      </c>
      <c r="N421">
        <v>0</v>
      </c>
      <c r="O421" s="1" t="s">
        <v>27</v>
      </c>
      <c r="P421">
        <v>1</v>
      </c>
      <c r="Q421">
        <v>1</v>
      </c>
      <c r="R421">
        <v>11</v>
      </c>
      <c r="S421">
        <v>13</v>
      </c>
      <c r="T421">
        <v>0</v>
      </c>
      <c r="U421">
        <v>0</v>
      </c>
      <c r="V421">
        <v>9.75</v>
      </c>
    </row>
    <row r="422" spans="1:22">
      <c r="A422" s="1" t="s">
        <v>468</v>
      </c>
      <c r="B422" s="1" t="s">
        <v>45</v>
      </c>
      <c r="C422" s="2">
        <v>46288</v>
      </c>
      <c r="D422" s="3">
        <v>0.34375</v>
      </c>
      <c r="E422">
        <v>88</v>
      </c>
      <c r="F422">
        <v>86</v>
      </c>
      <c r="G422">
        <v>3</v>
      </c>
      <c r="H422" s="1" t="s">
        <v>46</v>
      </c>
      <c r="I422">
        <v>18.5</v>
      </c>
      <c r="J422">
        <v>22</v>
      </c>
      <c r="K422" s="1" t="s">
        <v>47</v>
      </c>
      <c r="L422" s="1" t="s">
        <v>69</v>
      </c>
      <c r="M422">
        <v>0</v>
      </c>
      <c r="N422">
        <v>0</v>
      </c>
      <c r="O422" s="1" t="s">
        <v>27</v>
      </c>
      <c r="P422">
        <v>1</v>
      </c>
      <c r="Q422">
        <v>1</v>
      </c>
      <c r="R422">
        <v>21</v>
      </c>
      <c r="S422">
        <v>8</v>
      </c>
      <c r="T422">
        <v>1</v>
      </c>
      <c r="U422">
        <v>0</v>
      </c>
      <c r="V422">
        <v>4.76</v>
      </c>
    </row>
    <row r="423" spans="1:22">
      <c r="A423" s="1" t="s">
        <v>469</v>
      </c>
      <c r="B423" s="1" t="s">
        <v>59</v>
      </c>
      <c r="C423" s="2">
        <v>46288</v>
      </c>
      <c r="D423" s="3">
        <v>0.59375</v>
      </c>
      <c r="E423">
        <v>129</v>
      </c>
      <c r="F423">
        <v>134</v>
      </c>
      <c r="G423">
        <v>5</v>
      </c>
      <c r="H423" s="1" t="s">
        <v>60</v>
      </c>
      <c r="I423">
        <v>24.8</v>
      </c>
      <c r="J423">
        <v>28</v>
      </c>
      <c r="K423" s="1" t="s">
        <v>61</v>
      </c>
      <c r="L423" s="1" t="s">
        <v>69</v>
      </c>
      <c r="M423">
        <v>0</v>
      </c>
      <c r="N423">
        <v>0</v>
      </c>
      <c r="O423" s="1" t="s">
        <v>27</v>
      </c>
      <c r="P423">
        <v>1</v>
      </c>
      <c r="Q423">
        <v>1</v>
      </c>
      <c r="R423">
        <v>1</v>
      </c>
      <c r="S423">
        <v>14</v>
      </c>
      <c r="T423">
        <v>0</v>
      </c>
      <c r="U423">
        <v>0</v>
      </c>
      <c r="V423">
        <v>5.2</v>
      </c>
    </row>
    <row r="424" spans="1:22">
      <c r="A424" s="1" t="s">
        <v>470</v>
      </c>
      <c r="B424" s="1" t="s">
        <v>34</v>
      </c>
      <c r="C424" s="2">
        <v>46277</v>
      </c>
      <c r="D424" s="3">
        <v>0.66666666666666663</v>
      </c>
      <c r="E424">
        <v>119</v>
      </c>
      <c r="F424">
        <v>122</v>
      </c>
      <c r="G424">
        <v>5</v>
      </c>
      <c r="H424" s="1" t="s">
        <v>35</v>
      </c>
      <c r="I424">
        <v>12.2</v>
      </c>
      <c r="J424">
        <v>18</v>
      </c>
      <c r="K424" s="1" t="s">
        <v>36</v>
      </c>
      <c r="L424" s="1" t="s">
        <v>32</v>
      </c>
      <c r="M424">
        <v>1</v>
      </c>
      <c r="N424">
        <v>0</v>
      </c>
      <c r="O424" s="1" t="s">
        <v>40</v>
      </c>
      <c r="P424">
        <v>1</v>
      </c>
      <c r="Q424">
        <v>1</v>
      </c>
      <c r="R424">
        <v>5</v>
      </c>
      <c r="S424">
        <v>16</v>
      </c>
      <c r="T424">
        <v>0</v>
      </c>
      <c r="U424">
        <v>1</v>
      </c>
      <c r="V424">
        <v>9.75</v>
      </c>
    </row>
    <row r="425" spans="1:22">
      <c r="A425" s="1" t="s">
        <v>471</v>
      </c>
      <c r="B425" s="1" t="s">
        <v>23</v>
      </c>
      <c r="C425" s="2">
        <v>46285</v>
      </c>
      <c r="D425" s="3">
        <v>0.76041666666666663</v>
      </c>
      <c r="E425">
        <v>94</v>
      </c>
      <c r="F425">
        <v>96</v>
      </c>
      <c r="G425">
        <v>6</v>
      </c>
      <c r="H425" s="1" t="s">
        <v>24</v>
      </c>
      <c r="I425">
        <v>15</v>
      </c>
      <c r="J425">
        <v>16</v>
      </c>
      <c r="K425" s="1" t="s">
        <v>25</v>
      </c>
      <c r="L425" s="1" t="s">
        <v>38</v>
      </c>
      <c r="M425">
        <v>1</v>
      </c>
      <c r="N425">
        <v>0</v>
      </c>
      <c r="O425" s="1" t="s">
        <v>52</v>
      </c>
      <c r="P425">
        <v>1</v>
      </c>
      <c r="Q425">
        <v>1</v>
      </c>
      <c r="R425">
        <v>1</v>
      </c>
      <c r="S425">
        <v>18</v>
      </c>
      <c r="T425">
        <v>1</v>
      </c>
      <c r="U425">
        <v>1</v>
      </c>
      <c r="V425">
        <v>6.27</v>
      </c>
    </row>
    <row r="426" spans="1:22">
      <c r="A426" s="1" t="s">
        <v>472</v>
      </c>
      <c r="B426" s="1" t="s">
        <v>29</v>
      </c>
      <c r="C426" s="2">
        <v>46270</v>
      </c>
      <c r="D426" s="3">
        <v>0.25</v>
      </c>
      <c r="E426">
        <v>66</v>
      </c>
      <c r="F426">
        <v>63</v>
      </c>
      <c r="G426">
        <v>3</v>
      </c>
      <c r="H426" s="1" t="s">
        <v>30</v>
      </c>
      <c r="I426">
        <v>32</v>
      </c>
      <c r="J426">
        <v>14</v>
      </c>
      <c r="K426" s="1" t="s">
        <v>31</v>
      </c>
      <c r="L426" s="1" t="s">
        <v>32</v>
      </c>
      <c r="M426">
        <v>1</v>
      </c>
      <c r="N426">
        <v>1</v>
      </c>
      <c r="O426" s="1" t="s">
        <v>27</v>
      </c>
      <c r="P426">
        <v>1</v>
      </c>
      <c r="Q426">
        <v>1</v>
      </c>
      <c r="R426">
        <v>1</v>
      </c>
      <c r="S426">
        <v>6</v>
      </c>
      <c r="T426">
        <v>0</v>
      </c>
      <c r="U426">
        <v>0</v>
      </c>
      <c r="V426">
        <v>2.06</v>
      </c>
    </row>
    <row r="427" spans="1:22">
      <c r="A427" s="1" t="s">
        <v>473</v>
      </c>
      <c r="B427" s="1" t="s">
        <v>29</v>
      </c>
      <c r="C427" s="2">
        <v>46270</v>
      </c>
      <c r="D427" s="3">
        <v>0.65625</v>
      </c>
      <c r="E427">
        <v>135</v>
      </c>
      <c r="F427">
        <v>122</v>
      </c>
      <c r="G427">
        <v>7</v>
      </c>
      <c r="H427" s="1" t="s">
        <v>30</v>
      </c>
      <c r="I427">
        <v>32</v>
      </c>
      <c r="J427">
        <v>14</v>
      </c>
      <c r="K427" s="1" t="s">
        <v>31</v>
      </c>
      <c r="L427" s="1" t="s">
        <v>32</v>
      </c>
      <c r="M427">
        <v>1</v>
      </c>
      <c r="N427">
        <v>1</v>
      </c>
      <c r="O427" s="1" t="s">
        <v>27</v>
      </c>
      <c r="P427">
        <v>1</v>
      </c>
      <c r="Q427">
        <v>1</v>
      </c>
      <c r="R427">
        <v>0</v>
      </c>
      <c r="S427">
        <v>15</v>
      </c>
      <c r="T427">
        <v>0</v>
      </c>
      <c r="U427">
        <v>0</v>
      </c>
      <c r="V427">
        <v>4.22</v>
      </c>
    </row>
    <row r="428" spans="1:22">
      <c r="A428" s="1" t="s">
        <v>474</v>
      </c>
      <c r="B428" s="1" t="s">
        <v>45</v>
      </c>
      <c r="C428" s="2">
        <v>46271</v>
      </c>
      <c r="D428" s="3">
        <v>0.44791666666666669</v>
      </c>
      <c r="E428">
        <v>39</v>
      </c>
      <c r="F428">
        <v>36</v>
      </c>
      <c r="G428">
        <v>3</v>
      </c>
      <c r="H428" s="1" t="s">
        <v>46</v>
      </c>
      <c r="I428">
        <v>18.5</v>
      </c>
      <c r="J428">
        <v>22</v>
      </c>
      <c r="K428" s="1" t="s">
        <v>47</v>
      </c>
      <c r="L428" s="1" t="s">
        <v>38</v>
      </c>
      <c r="M428">
        <v>1</v>
      </c>
      <c r="N428">
        <v>0</v>
      </c>
      <c r="O428" s="1" t="s">
        <v>27</v>
      </c>
      <c r="P428">
        <v>1</v>
      </c>
      <c r="Q428">
        <v>1</v>
      </c>
      <c r="R428">
        <v>6</v>
      </c>
      <c r="S428">
        <v>10</v>
      </c>
      <c r="T428">
        <v>1</v>
      </c>
      <c r="U428">
        <v>0</v>
      </c>
      <c r="V428">
        <v>2.11</v>
      </c>
    </row>
    <row r="429" spans="1:22">
      <c r="A429" s="1" t="s">
        <v>475</v>
      </c>
      <c r="B429" s="1" t="s">
        <v>29</v>
      </c>
      <c r="C429" s="2">
        <v>46295</v>
      </c>
      <c r="D429" s="3">
        <v>0.38541666666666669</v>
      </c>
      <c r="E429">
        <v>103</v>
      </c>
      <c r="F429">
        <v>101</v>
      </c>
      <c r="G429">
        <v>6</v>
      </c>
      <c r="H429" s="1" t="s">
        <v>30</v>
      </c>
      <c r="I429">
        <v>32</v>
      </c>
      <c r="J429">
        <v>14</v>
      </c>
      <c r="K429" s="1" t="s">
        <v>31</v>
      </c>
      <c r="L429" s="1" t="s">
        <v>69</v>
      </c>
      <c r="M429">
        <v>0</v>
      </c>
      <c r="N429">
        <v>0</v>
      </c>
      <c r="O429" s="1" t="s">
        <v>27</v>
      </c>
      <c r="P429">
        <v>1</v>
      </c>
      <c r="Q429">
        <v>1</v>
      </c>
      <c r="R429">
        <v>0</v>
      </c>
      <c r="S429">
        <v>9</v>
      </c>
      <c r="T429">
        <v>1</v>
      </c>
      <c r="U429">
        <v>0</v>
      </c>
      <c r="V429">
        <v>3.22</v>
      </c>
    </row>
    <row r="430" spans="1:22">
      <c r="A430" s="1" t="s">
        <v>476</v>
      </c>
      <c r="B430" s="1" t="s">
        <v>23</v>
      </c>
      <c r="C430" s="2">
        <v>46274</v>
      </c>
      <c r="D430" s="3">
        <v>0.35416666666666669</v>
      </c>
      <c r="E430">
        <v>143</v>
      </c>
      <c r="F430">
        <v>132</v>
      </c>
      <c r="G430">
        <v>6</v>
      </c>
      <c r="H430" s="1" t="s">
        <v>24</v>
      </c>
      <c r="I430">
        <v>15</v>
      </c>
      <c r="J430">
        <v>16</v>
      </c>
      <c r="K430" s="1" t="s">
        <v>25</v>
      </c>
      <c r="L430" s="1" t="s">
        <v>69</v>
      </c>
      <c r="M430">
        <v>0</v>
      </c>
      <c r="N430">
        <v>0</v>
      </c>
      <c r="O430" s="1" t="s">
        <v>27</v>
      </c>
      <c r="P430">
        <v>1</v>
      </c>
      <c r="Q430">
        <v>1</v>
      </c>
      <c r="R430">
        <v>6</v>
      </c>
      <c r="S430">
        <v>8</v>
      </c>
      <c r="T430">
        <v>1</v>
      </c>
      <c r="U430">
        <v>0</v>
      </c>
      <c r="V430">
        <v>9.5299999999999994</v>
      </c>
    </row>
    <row r="431" spans="1:22">
      <c r="A431" s="1" t="s">
        <v>477</v>
      </c>
      <c r="B431" s="1" t="s">
        <v>34</v>
      </c>
      <c r="C431" s="2">
        <v>46267</v>
      </c>
      <c r="D431" s="3">
        <v>0.36458333333333331</v>
      </c>
      <c r="E431">
        <v>142</v>
      </c>
      <c r="F431">
        <v>144</v>
      </c>
      <c r="G431">
        <v>7</v>
      </c>
      <c r="H431" s="1" t="s">
        <v>35</v>
      </c>
      <c r="I431">
        <v>12.2</v>
      </c>
      <c r="J431">
        <v>18</v>
      </c>
      <c r="K431" s="1" t="s">
        <v>36</v>
      </c>
      <c r="L431" s="1" t="s">
        <v>69</v>
      </c>
      <c r="M431">
        <v>0</v>
      </c>
      <c r="N431">
        <v>0</v>
      </c>
      <c r="O431" s="1" t="s">
        <v>27</v>
      </c>
      <c r="P431">
        <v>1</v>
      </c>
      <c r="Q431">
        <v>1</v>
      </c>
      <c r="R431">
        <v>14</v>
      </c>
      <c r="S431">
        <v>8</v>
      </c>
      <c r="T431">
        <v>1</v>
      </c>
      <c r="U431">
        <v>0</v>
      </c>
      <c r="V431">
        <v>11.64</v>
      </c>
    </row>
    <row r="432" spans="1:22">
      <c r="A432" s="1" t="s">
        <v>478</v>
      </c>
      <c r="B432" s="1" t="s">
        <v>34</v>
      </c>
      <c r="C432" s="2">
        <v>46286</v>
      </c>
      <c r="D432" s="3">
        <v>0.61458333333333337</v>
      </c>
      <c r="E432">
        <v>28</v>
      </c>
      <c r="F432">
        <v>30</v>
      </c>
      <c r="G432">
        <v>3</v>
      </c>
      <c r="H432" s="1" t="s">
        <v>35</v>
      </c>
      <c r="I432">
        <v>12.2</v>
      </c>
      <c r="J432">
        <v>18</v>
      </c>
      <c r="K432" s="1" t="s">
        <v>36</v>
      </c>
      <c r="L432" s="1" t="s">
        <v>65</v>
      </c>
      <c r="M432">
        <v>0</v>
      </c>
      <c r="N432">
        <v>0</v>
      </c>
      <c r="O432" s="1" t="s">
        <v>27</v>
      </c>
      <c r="P432">
        <v>1</v>
      </c>
      <c r="Q432">
        <v>1</v>
      </c>
      <c r="R432">
        <v>21</v>
      </c>
      <c r="S432">
        <v>14</v>
      </c>
      <c r="T432">
        <v>0</v>
      </c>
      <c r="U432">
        <v>0</v>
      </c>
      <c r="V432">
        <v>2.2999999999999998</v>
      </c>
    </row>
    <row r="433" spans="1:22">
      <c r="A433" s="1" t="s">
        <v>479</v>
      </c>
      <c r="B433" s="1" t="s">
        <v>23</v>
      </c>
      <c r="C433" s="2">
        <v>46277</v>
      </c>
      <c r="D433" s="3">
        <v>0.30208333333333331</v>
      </c>
      <c r="E433">
        <v>79</v>
      </c>
      <c r="F433">
        <v>83</v>
      </c>
      <c r="G433">
        <v>7</v>
      </c>
      <c r="H433" s="1" t="s">
        <v>24</v>
      </c>
      <c r="I433">
        <v>15</v>
      </c>
      <c r="J433">
        <v>16</v>
      </c>
      <c r="K433" s="1" t="s">
        <v>25</v>
      </c>
      <c r="L433" s="1" t="s">
        <v>32</v>
      </c>
      <c r="M433">
        <v>1</v>
      </c>
      <c r="N433">
        <v>0</v>
      </c>
      <c r="O433" s="1" t="s">
        <v>40</v>
      </c>
      <c r="P433">
        <v>1</v>
      </c>
      <c r="Q433">
        <v>1</v>
      </c>
      <c r="R433">
        <v>2</v>
      </c>
      <c r="S433">
        <v>7</v>
      </c>
      <c r="T433">
        <v>0</v>
      </c>
      <c r="U433">
        <v>1</v>
      </c>
      <c r="V433">
        <v>5.27</v>
      </c>
    </row>
    <row r="434" spans="1:22">
      <c r="A434" s="1" t="s">
        <v>480</v>
      </c>
      <c r="B434" s="1" t="s">
        <v>45</v>
      </c>
      <c r="C434" s="2">
        <v>46268</v>
      </c>
      <c r="D434" s="3">
        <v>0.38541666666666669</v>
      </c>
      <c r="E434">
        <v>26</v>
      </c>
      <c r="F434">
        <v>25</v>
      </c>
      <c r="G434">
        <v>3</v>
      </c>
      <c r="H434" s="1" t="s">
        <v>46</v>
      </c>
      <c r="I434">
        <v>18.5</v>
      </c>
      <c r="J434">
        <v>22</v>
      </c>
      <c r="K434" s="1" t="s">
        <v>47</v>
      </c>
      <c r="L434" s="1" t="s">
        <v>56</v>
      </c>
      <c r="M434">
        <v>0</v>
      </c>
      <c r="N434">
        <v>0</v>
      </c>
      <c r="O434" s="1" t="s">
        <v>27</v>
      </c>
      <c r="P434">
        <v>1</v>
      </c>
      <c r="Q434">
        <v>1</v>
      </c>
      <c r="R434">
        <v>4</v>
      </c>
      <c r="S434">
        <v>9</v>
      </c>
      <c r="T434">
        <v>1</v>
      </c>
      <c r="U434">
        <v>0</v>
      </c>
      <c r="V434">
        <v>1.41</v>
      </c>
    </row>
    <row r="435" spans="1:22">
      <c r="A435" s="1" t="s">
        <v>481</v>
      </c>
      <c r="B435" s="1" t="s">
        <v>29</v>
      </c>
      <c r="C435" s="2">
        <v>46285</v>
      </c>
      <c r="D435" s="3">
        <v>0.52083333333333337</v>
      </c>
      <c r="E435">
        <v>155</v>
      </c>
      <c r="F435">
        <v>156</v>
      </c>
      <c r="G435">
        <v>4</v>
      </c>
      <c r="H435" s="1" t="s">
        <v>30</v>
      </c>
      <c r="I435">
        <v>32</v>
      </c>
      <c r="J435">
        <v>14</v>
      </c>
      <c r="K435" s="1" t="s">
        <v>31</v>
      </c>
      <c r="L435" s="1" t="s">
        <v>38</v>
      </c>
      <c r="M435">
        <v>1</v>
      </c>
      <c r="N435">
        <v>0</v>
      </c>
      <c r="O435" s="1" t="s">
        <v>52</v>
      </c>
      <c r="P435">
        <v>1</v>
      </c>
      <c r="Q435">
        <v>1</v>
      </c>
      <c r="R435">
        <v>6</v>
      </c>
      <c r="S435">
        <v>12</v>
      </c>
      <c r="T435">
        <v>0</v>
      </c>
      <c r="U435">
        <v>1</v>
      </c>
      <c r="V435">
        <v>4.84</v>
      </c>
    </row>
    <row r="436" spans="1:22">
      <c r="A436" s="1" t="s">
        <v>482</v>
      </c>
      <c r="B436" s="1" t="s">
        <v>45</v>
      </c>
      <c r="C436" s="2">
        <v>46291</v>
      </c>
      <c r="D436" s="3">
        <v>0.59375</v>
      </c>
      <c r="E436">
        <v>191</v>
      </c>
      <c r="F436">
        <v>175</v>
      </c>
      <c r="G436">
        <v>6</v>
      </c>
      <c r="H436" s="1" t="s">
        <v>46</v>
      </c>
      <c r="I436">
        <v>18.5</v>
      </c>
      <c r="J436">
        <v>22</v>
      </c>
      <c r="K436" s="1" t="s">
        <v>47</v>
      </c>
      <c r="L436" s="1" t="s">
        <v>32</v>
      </c>
      <c r="M436">
        <v>1</v>
      </c>
      <c r="N436">
        <v>0</v>
      </c>
      <c r="O436" s="1" t="s">
        <v>27</v>
      </c>
      <c r="P436">
        <v>1</v>
      </c>
      <c r="Q436">
        <v>1</v>
      </c>
      <c r="R436">
        <v>1</v>
      </c>
      <c r="S436">
        <v>14</v>
      </c>
      <c r="T436">
        <v>0</v>
      </c>
      <c r="U436">
        <v>0</v>
      </c>
      <c r="V436">
        <v>10.32</v>
      </c>
    </row>
    <row r="437" spans="1:22">
      <c r="A437" s="1" t="s">
        <v>483</v>
      </c>
      <c r="B437" s="1" t="s">
        <v>45</v>
      </c>
      <c r="C437" s="2">
        <v>46287</v>
      </c>
      <c r="D437" s="3">
        <v>0.78125</v>
      </c>
      <c r="E437">
        <v>152</v>
      </c>
      <c r="F437">
        <v>152</v>
      </c>
      <c r="G437">
        <v>6</v>
      </c>
      <c r="H437" s="1" t="s">
        <v>46</v>
      </c>
      <c r="I437">
        <v>18.5</v>
      </c>
      <c r="J437">
        <v>22</v>
      </c>
      <c r="K437" s="1" t="s">
        <v>47</v>
      </c>
      <c r="L437" s="1" t="s">
        <v>26</v>
      </c>
      <c r="M437">
        <v>0</v>
      </c>
      <c r="N437">
        <v>0</v>
      </c>
      <c r="O437" s="1" t="s">
        <v>27</v>
      </c>
      <c r="P437">
        <v>1</v>
      </c>
      <c r="Q437">
        <v>1</v>
      </c>
      <c r="R437">
        <v>6</v>
      </c>
      <c r="S437">
        <v>18</v>
      </c>
      <c r="T437">
        <v>1</v>
      </c>
      <c r="U437">
        <v>0</v>
      </c>
      <c r="V437">
        <v>8.2200000000000006</v>
      </c>
    </row>
    <row r="438" spans="1:22">
      <c r="A438" s="1" t="s">
        <v>484</v>
      </c>
      <c r="B438" s="1" t="s">
        <v>45</v>
      </c>
      <c r="C438" s="2">
        <v>46277</v>
      </c>
      <c r="D438" s="3">
        <v>0.73958333333333337</v>
      </c>
      <c r="E438">
        <v>116</v>
      </c>
      <c r="F438">
        <v>108</v>
      </c>
      <c r="G438">
        <v>4</v>
      </c>
      <c r="H438" s="1" t="s">
        <v>46</v>
      </c>
      <c r="I438">
        <v>18.5</v>
      </c>
      <c r="J438">
        <v>22</v>
      </c>
      <c r="K438" s="1" t="s">
        <v>47</v>
      </c>
      <c r="L438" s="1" t="s">
        <v>32</v>
      </c>
      <c r="M438">
        <v>1</v>
      </c>
      <c r="N438">
        <v>0</v>
      </c>
      <c r="O438" s="1" t="s">
        <v>40</v>
      </c>
      <c r="P438">
        <v>1</v>
      </c>
      <c r="Q438">
        <v>1</v>
      </c>
      <c r="R438">
        <v>1</v>
      </c>
      <c r="S438">
        <v>17</v>
      </c>
      <c r="T438">
        <v>1</v>
      </c>
      <c r="U438">
        <v>1</v>
      </c>
      <c r="V438">
        <v>6.27</v>
      </c>
    </row>
    <row r="439" spans="1:22">
      <c r="A439" s="1" t="s">
        <v>485</v>
      </c>
      <c r="B439" s="1" t="s">
        <v>23</v>
      </c>
      <c r="C439" s="2">
        <v>46289</v>
      </c>
      <c r="D439" s="3">
        <v>0.89583333333333337</v>
      </c>
      <c r="E439">
        <v>106</v>
      </c>
      <c r="F439">
        <v>107</v>
      </c>
      <c r="G439">
        <v>5</v>
      </c>
      <c r="H439" s="1" t="s">
        <v>24</v>
      </c>
      <c r="I439">
        <v>15</v>
      </c>
      <c r="J439">
        <v>16</v>
      </c>
      <c r="K439" s="1" t="s">
        <v>25</v>
      </c>
      <c r="L439" s="1" t="s">
        <v>56</v>
      </c>
      <c r="M439">
        <v>0</v>
      </c>
      <c r="N439">
        <v>0</v>
      </c>
      <c r="O439" s="1" t="s">
        <v>27</v>
      </c>
      <c r="P439">
        <v>1</v>
      </c>
      <c r="Q439">
        <v>1</v>
      </c>
      <c r="R439">
        <v>1</v>
      </c>
      <c r="S439">
        <v>21</v>
      </c>
      <c r="T439">
        <v>0</v>
      </c>
      <c r="U439">
        <v>0</v>
      </c>
      <c r="V439">
        <v>7.07</v>
      </c>
    </row>
    <row r="440" spans="1:22">
      <c r="A440" s="1" t="s">
        <v>486</v>
      </c>
      <c r="B440" s="1" t="s">
        <v>59</v>
      </c>
      <c r="C440" s="2">
        <v>46282</v>
      </c>
      <c r="D440" s="3">
        <v>0.48958333333333331</v>
      </c>
      <c r="E440">
        <v>162</v>
      </c>
      <c r="F440">
        <v>156</v>
      </c>
      <c r="G440">
        <v>7</v>
      </c>
      <c r="H440" s="1" t="s">
        <v>60</v>
      </c>
      <c r="I440">
        <v>24.8</v>
      </c>
      <c r="J440">
        <v>28</v>
      </c>
      <c r="K440" s="1" t="s">
        <v>61</v>
      </c>
      <c r="L440" s="1" t="s">
        <v>56</v>
      </c>
      <c r="M440">
        <v>0</v>
      </c>
      <c r="N440">
        <v>0</v>
      </c>
      <c r="O440" s="1" t="s">
        <v>27</v>
      </c>
      <c r="P440">
        <v>1</v>
      </c>
      <c r="Q440">
        <v>1</v>
      </c>
      <c r="R440">
        <v>18</v>
      </c>
      <c r="S440">
        <v>11</v>
      </c>
      <c r="T440">
        <v>0</v>
      </c>
      <c r="U440">
        <v>0</v>
      </c>
      <c r="V440">
        <v>6.53</v>
      </c>
    </row>
    <row r="441" spans="1:22">
      <c r="A441" s="1" t="s">
        <v>487</v>
      </c>
      <c r="B441" s="1" t="s">
        <v>45</v>
      </c>
      <c r="C441" s="2">
        <v>46275</v>
      </c>
      <c r="D441" s="3">
        <v>0.77083333333333337</v>
      </c>
      <c r="E441">
        <v>64</v>
      </c>
      <c r="F441">
        <v>65</v>
      </c>
      <c r="G441">
        <v>3</v>
      </c>
      <c r="H441" s="1" t="s">
        <v>46</v>
      </c>
      <c r="I441">
        <v>18.5</v>
      </c>
      <c r="J441">
        <v>22</v>
      </c>
      <c r="K441" s="1" t="s">
        <v>47</v>
      </c>
      <c r="L441" s="1" t="s">
        <v>56</v>
      </c>
      <c r="M441">
        <v>0</v>
      </c>
      <c r="N441">
        <v>0</v>
      </c>
      <c r="O441" s="1" t="s">
        <v>27</v>
      </c>
      <c r="P441">
        <v>1</v>
      </c>
      <c r="Q441">
        <v>1</v>
      </c>
      <c r="R441">
        <v>2</v>
      </c>
      <c r="S441">
        <v>18</v>
      </c>
      <c r="T441">
        <v>1</v>
      </c>
      <c r="U441">
        <v>0</v>
      </c>
      <c r="V441">
        <v>3.46</v>
      </c>
    </row>
    <row r="442" spans="1:22">
      <c r="A442" s="1" t="s">
        <v>488</v>
      </c>
      <c r="B442" s="1" t="s">
        <v>29</v>
      </c>
      <c r="C442" s="2">
        <v>46295</v>
      </c>
      <c r="D442" s="3">
        <v>0.40625</v>
      </c>
      <c r="E442">
        <v>111</v>
      </c>
      <c r="F442">
        <v>116</v>
      </c>
      <c r="G442">
        <v>4</v>
      </c>
      <c r="H442" s="1" t="s">
        <v>30</v>
      </c>
      <c r="I442">
        <v>32</v>
      </c>
      <c r="J442">
        <v>14</v>
      </c>
      <c r="K442" s="1" t="s">
        <v>31</v>
      </c>
      <c r="L442" s="1" t="s">
        <v>69</v>
      </c>
      <c r="M442">
        <v>0</v>
      </c>
      <c r="N442">
        <v>0</v>
      </c>
      <c r="O442" s="1" t="s">
        <v>27</v>
      </c>
      <c r="P442">
        <v>1</v>
      </c>
      <c r="Q442">
        <v>1</v>
      </c>
      <c r="R442">
        <v>3</v>
      </c>
      <c r="S442">
        <v>9</v>
      </c>
      <c r="T442">
        <v>1</v>
      </c>
      <c r="U442">
        <v>0</v>
      </c>
      <c r="V442">
        <v>3.47</v>
      </c>
    </row>
    <row r="443" spans="1:22">
      <c r="A443" s="1" t="s">
        <v>489</v>
      </c>
      <c r="B443" s="1" t="s">
        <v>59</v>
      </c>
      <c r="C443" s="2">
        <v>46289</v>
      </c>
      <c r="D443" s="3">
        <v>0.36458333333333331</v>
      </c>
      <c r="E443">
        <v>65</v>
      </c>
      <c r="F443">
        <v>66</v>
      </c>
      <c r="G443">
        <v>3</v>
      </c>
      <c r="H443" s="1" t="s">
        <v>60</v>
      </c>
      <c r="I443">
        <v>24.8</v>
      </c>
      <c r="J443">
        <v>28</v>
      </c>
      <c r="K443" s="1" t="s">
        <v>61</v>
      </c>
      <c r="L443" s="1" t="s">
        <v>56</v>
      </c>
      <c r="M443">
        <v>0</v>
      </c>
      <c r="N443">
        <v>0</v>
      </c>
      <c r="O443" s="1" t="s">
        <v>27</v>
      </c>
      <c r="P443">
        <v>1</v>
      </c>
      <c r="Q443">
        <v>1</v>
      </c>
      <c r="R443">
        <v>4</v>
      </c>
      <c r="S443">
        <v>8</v>
      </c>
      <c r="T443">
        <v>1</v>
      </c>
      <c r="U443">
        <v>0</v>
      </c>
      <c r="V443">
        <v>2.62</v>
      </c>
    </row>
    <row r="444" spans="1:22">
      <c r="A444" s="1" t="s">
        <v>490</v>
      </c>
      <c r="B444" s="1" t="s">
        <v>45</v>
      </c>
      <c r="C444" s="2">
        <v>46292</v>
      </c>
      <c r="D444" s="3">
        <v>0.26041666666666669</v>
      </c>
      <c r="E444">
        <v>91</v>
      </c>
      <c r="F444">
        <v>98</v>
      </c>
      <c r="G444">
        <v>7</v>
      </c>
      <c r="H444" s="1" t="s">
        <v>46</v>
      </c>
      <c r="I444">
        <v>18.5</v>
      </c>
      <c r="J444">
        <v>22</v>
      </c>
      <c r="K444" s="1" t="s">
        <v>47</v>
      </c>
      <c r="L444" s="1" t="s">
        <v>38</v>
      </c>
      <c r="M444">
        <v>1</v>
      </c>
      <c r="N444">
        <v>0</v>
      </c>
      <c r="O444" s="1" t="s">
        <v>134</v>
      </c>
      <c r="P444">
        <v>1</v>
      </c>
      <c r="Q444">
        <v>1</v>
      </c>
      <c r="R444">
        <v>3</v>
      </c>
      <c r="S444">
        <v>6</v>
      </c>
      <c r="T444">
        <v>0</v>
      </c>
      <c r="U444">
        <v>1</v>
      </c>
      <c r="V444">
        <v>4.92</v>
      </c>
    </row>
    <row r="445" spans="1:22">
      <c r="A445" s="1" t="s">
        <v>491</v>
      </c>
      <c r="B445" s="1" t="s">
        <v>23</v>
      </c>
      <c r="C445" s="2">
        <v>46279</v>
      </c>
      <c r="D445" s="3">
        <v>0.9375</v>
      </c>
      <c r="E445">
        <v>185</v>
      </c>
      <c r="F445">
        <v>172</v>
      </c>
      <c r="G445">
        <v>6</v>
      </c>
      <c r="H445" s="1" t="s">
        <v>24</v>
      </c>
      <c r="I445">
        <v>15</v>
      </c>
      <c r="J445">
        <v>16</v>
      </c>
      <c r="K445" s="1" t="s">
        <v>25</v>
      </c>
      <c r="L445" s="1" t="s">
        <v>65</v>
      </c>
      <c r="M445">
        <v>0</v>
      </c>
      <c r="N445">
        <v>0</v>
      </c>
      <c r="O445" s="1" t="s">
        <v>27</v>
      </c>
      <c r="P445">
        <v>1</v>
      </c>
      <c r="Q445">
        <v>1</v>
      </c>
      <c r="R445">
        <v>4</v>
      </c>
      <c r="S445">
        <v>22</v>
      </c>
      <c r="T445">
        <v>0</v>
      </c>
      <c r="U445">
        <v>0</v>
      </c>
      <c r="V445">
        <v>12.33</v>
      </c>
    </row>
    <row r="446" spans="1:22">
      <c r="A446" s="1" t="s">
        <v>492</v>
      </c>
      <c r="B446" s="1" t="s">
        <v>59</v>
      </c>
      <c r="C446" s="2">
        <v>46288</v>
      </c>
      <c r="D446" s="3">
        <v>0.89583333333333337</v>
      </c>
      <c r="E446">
        <v>91</v>
      </c>
      <c r="F446">
        <v>83</v>
      </c>
      <c r="G446">
        <v>3</v>
      </c>
      <c r="H446" s="1" t="s">
        <v>60</v>
      </c>
      <c r="I446">
        <v>24.8</v>
      </c>
      <c r="J446">
        <v>28</v>
      </c>
      <c r="K446" s="1" t="s">
        <v>61</v>
      </c>
      <c r="L446" s="1" t="s">
        <v>69</v>
      </c>
      <c r="M446">
        <v>0</v>
      </c>
      <c r="N446">
        <v>0</v>
      </c>
      <c r="O446" s="1" t="s">
        <v>27</v>
      </c>
      <c r="P446">
        <v>1</v>
      </c>
      <c r="Q446">
        <v>1</v>
      </c>
      <c r="R446">
        <v>1</v>
      </c>
      <c r="S446">
        <v>21</v>
      </c>
      <c r="T446">
        <v>0</v>
      </c>
      <c r="U446">
        <v>0</v>
      </c>
      <c r="V446">
        <v>3.67</v>
      </c>
    </row>
    <row r="447" spans="1:22">
      <c r="A447" s="1" t="s">
        <v>493</v>
      </c>
      <c r="B447" s="1" t="s">
        <v>23</v>
      </c>
      <c r="C447" s="2">
        <v>46282</v>
      </c>
      <c r="D447" s="3">
        <v>0.77083333333333337</v>
      </c>
      <c r="E447">
        <v>79</v>
      </c>
      <c r="F447">
        <v>68</v>
      </c>
      <c r="G447">
        <v>3</v>
      </c>
      <c r="H447" s="1" t="s">
        <v>24</v>
      </c>
      <c r="I447">
        <v>15</v>
      </c>
      <c r="J447">
        <v>16</v>
      </c>
      <c r="K447" s="1" t="s">
        <v>25</v>
      </c>
      <c r="L447" s="1" t="s">
        <v>56</v>
      </c>
      <c r="M447">
        <v>0</v>
      </c>
      <c r="N447">
        <v>0</v>
      </c>
      <c r="O447" s="1" t="s">
        <v>27</v>
      </c>
      <c r="P447">
        <v>1</v>
      </c>
      <c r="Q447">
        <v>1</v>
      </c>
      <c r="R447">
        <v>2</v>
      </c>
      <c r="S447">
        <v>18</v>
      </c>
      <c r="T447">
        <v>1</v>
      </c>
      <c r="U447">
        <v>0</v>
      </c>
      <c r="V447">
        <v>5.27</v>
      </c>
    </row>
    <row r="448" spans="1:22">
      <c r="A448" s="1" t="s">
        <v>494</v>
      </c>
      <c r="B448" s="1" t="s">
        <v>45</v>
      </c>
      <c r="C448" s="2">
        <v>46283</v>
      </c>
      <c r="D448" s="3">
        <v>0.73958333333333337</v>
      </c>
      <c r="E448">
        <v>183</v>
      </c>
      <c r="F448">
        <v>180</v>
      </c>
      <c r="G448">
        <v>5</v>
      </c>
      <c r="H448" s="1" t="s">
        <v>46</v>
      </c>
      <c r="I448">
        <v>18.5</v>
      </c>
      <c r="J448">
        <v>22</v>
      </c>
      <c r="K448" s="1" t="s">
        <v>47</v>
      </c>
      <c r="L448" s="1" t="s">
        <v>49</v>
      </c>
      <c r="M448">
        <v>0</v>
      </c>
      <c r="N448">
        <v>0</v>
      </c>
      <c r="O448" s="1" t="s">
        <v>27</v>
      </c>
      <c r="P448">
        <v>1</v>
      </c>
      <c r="Q448">
        <v>1</v>
      </c>
      <c r="R448">
        <v>34</v>
      </c>
      <c r="S448">
        <v>17</v>
      </c>
      <c r="T448">
        <v>1</v>
      </c>
      <c r="U448">
        <v>0</v>
      </c>
      <c r="V448">
        <v>9.89</v>
      </c>
    </row>
    <row r="449" spans="1:22">
      <c r="A449" s="1" t="s">
        <v>495</v>
      </c>
      <c r="B449" s="1" t="s">
        <v>23</v>
      </c>
      <c r="C449" s="2">
        <v>46284</v>
      </c>
      <c r="D449" s="3">
        <v>0.41666666666666669</v>
      </c>
      <c r="E449">
        <v>92</v>
      </c>
      <c r="F449">
        <v>87</v>
      </c>
      <c r="G449">
        <v>3</v>
      </c>
      <c r="H449" s="1" t="s">
        <v>24</v>
      </c>
      <c r="I449">
        <v>15</v>
      </c>
      <c r="J449">
        <v>16</v>
      </c>
      <c r="K449" s="1" t="s">
        <v>25</v>
      </c>
      <c r="L449" s="1" t="s">
        <v>32</v>
      </c>
      <c r="M449">
        <v>1</v>
      </c>
      <c r="N449">
        <v>1</v>
      </c>
      <c r="O449" s="1" t="s">
        <v>27</v>
      </c>
      <c r="P449">
        <v>1</v>
      </c>
      <c r="Q449">
        <v>1</v>
      </c>
      <c r="R449">
        <v>0</v>
      </c>
      <c r="S449">
        <v>10</v>
      </c>
      <c r="T449">
        <v>1</v>
      </c>
      <c r="U449">
        <v>0</v>
      </c>
      <c r="V449">
        <v>6.13</v>
      </c>
    </row>
    <row r="450" spans="1:22">
      <c r="A450" s="1" t="s">
        <v>496</v>
      </c>
      <c r="B450" s="1" t="s">
        <v>29</v>
      </c>
      <c r="C450" s="2">
        <v>46282</v>
      </c>
      <c r="D450" s="3">
        <v>0.36458333333333331</v>
      </c>
      <c r="E450">
        <v>46</v>
      </c>
      <c r="F450">
        <v>53</v>
      </c>
      <c r="G450">
        <v>3</v>
      </c>
      <c r="H450" s="1" t="s">
        <v>30</v>
      </c>
      <c r="I450">
        <v>32</v>
      </c>
      <c r="J450">
        <v>14</v>
      </c>
      <c r="K450" s="1" t="s">
        <v>31</v>
      </c>
      <c r="L450" s="1" t="s">
        <v>56</v>
      </c>
      <c r="M450">
        <v>0</v>
      </c>
      <c r="N450">
        <v>0</v>
      </c>
      <c r="O450" s="1" t="s">
        <v>27</v>
      </c>
      <c r="P450">
        <v>1</v>
      </c>
      <c r="Q450">
        <v>1</v>
      </c>
      <c r="R450">
        <v>4</v>
      </c>
      <c r="S450">
        <v>8</v>
      </c>
      <c r="T450">
        <v>1</v>
      </c>
      <c r="U450">
        <v>0</v>
      </c>
      <c r="V450">
        <v>1.44</v>
      </c>
    </row>
    <row r="451" spans="1:22">
      <c r="A451" s="1" t="s">
        <v>497</v>
      </c>
      <c r="B451" s="1" t="s">
        <v>45</v>
      </c>
      <c r="C451" s="2">
        <v>46279</v>
      </c>
      <c r="D451" s="3">
        <v>0.83333333333333337</v>
      </c>
      <c r="E451">
        <v>166</v>
      </c>
      <c r="F451">
        <v>157</v>
      </c>
      <c r="G451">
        <v>4</v>
      </c>
      <c r="H451" s="1" t="s">
        <v>46</v>
      </c>
      <c r="I451">
        <v>18.5</v>
      </c>
      <c r="J451">
        <v>22</v>
      </c>
      <c r="K451" s="1" t="s">
        <v>47</v>
      </c>
      <c r="L451" s="1" t="s">
        <v>65</v>
      </c>
      <c r="M451">
        <v>0</v>
      </c>
      <c r="N451">
        <v>0</v>
      </c>
      <c r="O451" s="1" t="s">
        <v>27</v>
      </c>
      <c r="P451">
        <v>1</v>
      </c>
      <c r="Q451">
        <v>1</v>
      </c>
      <c r="R451">
        <v>5</v>
      </c>
      <c r="S451">
        <v>20</v>
      </c>
      <c r="T451">
        <v>0</v>
      </c>
      <c r="U451">
        <v>0</v>
      </c>
      <c r="V451">
        <v>8.9700000000000006</v>
      </c>
    </row>
    <row r="452" spans="1:22">
      <c r="A452" s="1" t="s">
        <v>498</v>
      </c>
      <c r="B452" s="1" t="s">
        <v>45</v>
      </c>
      <c r="C452" s="2">
        <v>46274</v>
      </c>
      <c r="D452" s="3">
        <v>0.34375</v>
      </c>
      <c r="E452">
        <v>190</v>
      </c>
      <c r="F452">
        <v>193</v>
      </c>
      <c r="G452">
        <v>6</v>
      </c>
      <c r="H452" s="1" t="s">
        <v>46</v>
      </c>
      <c r="I452">
        <v>18.5</v>
      </c>
      <c r="J452">
        <v>22</v>
      </c>
      <c r="K452" s="1" t="s">
        <v>47</v>
      </c>
      <c r="L452" s="1" t="s">
        <v>69</v>
      </c>
      <c r="M452">
        <v>0</v>
      </c>
      <c r="N452">
        <v>0</v>
      </c>
      <c r="O452" s="1" t="s">
        <v>27</v>
      </c>
      <c r="P452">
        <v>1</v>
      </c>
      <c r="Q452">
        <v>1</v>
      </c>
      <c r="R452">
        <v>5</v>
      </c>
      <c r="S452">
        <v>8</v>
      </c>
      <c r="T452">
        <v>1</v>
      </c>
      <c r="U452">
        <v>0</v>
      </c>
      <c r="V452">
        <v>10.27</v>
      </c>
    </row>
    <row r="453" spans="1:22">
      <c r="A453" s="1" t="s">
        <v>499</v>
      </c>
      <c r="B453" s="1" t="s">
        <v>45</v>
      </c>
      <c r="C453" s="2">
        <v>46273</v>
      </c>
      <c r="D453" s="3">
        <v>0.89583333333333337</v>
      </c>
      <c r="E453">
        <v>92</v>
      </c>
      <c r="F453">
        <v>93</v>
      </c>
      <c r="G453">
        <v>5</v>
      </c>
      <c r="H453" s="1" t="s">
        <v>46</v>
      </c>
      <c r="I453">
        <v>18.5</v>
      </c>
      <c r="J453">
        <v>22</v>
      </c>
      <c r="K453" s="1" t="s">
        <v>47</v>
      </c>
      <c r="L453" s="1" t="s">
        <v>26</v>
      </c>
      <c r="M453">
        <v>0</v>
      </c>
      <c r="N453">
        <v>0</v>
      </c>
      <c r="O453" s="1" t="s">
        <v>27</v>
      </c>
      <c r="P453">
        <v>1</v>
      </c>
      <c r="Q453">
        <v>1</v>
      </c>
      <c r="R453">
        <v>3</v>
      </c>
      <c r="S453">
        <v>21</v>
      </c>
      <c r="T453">
        <v>0</v>
      </c>
      <c r="U453">
        <v>0</v>
      </c>
      <c r="V453">
        <v>4.97</v>
      </c>
    </row>
    <row r="454" spans="1:22">
      <c r="A454" s="1" t="s">
        <v>500</v>
      </c>
      <c r="B454" s="1" t="s">
        <v>45</v>
      </c>
      <c r="C454" s="2">
        <v>46267</v>
      </c>
      <c r="D454" s="3">
        <v>0.21875</v>
      </c>
      <c r="E454">
        <v>74</v>
      </c>
      <c r="F454">
        <v>69</v>
      </c>
      <c r="G454">
        <v>6</v>
      </c>
      <c r="H454" s="1" t="s">
        <v>46</v>
      </c>
      <c r="I454">
        <v>18.5</v>
      </c>
      <c r="J454">
        <v>22</v>
      </c>
      <c r="K454" s="1" t="s">
        <v>47</v>
      </c>
      <c r="L454" s="1" t="s">
        <v>69</v>
      </c>
      <c r="M454">
        <v>0</v>
      </c>
      <c r="N454">
        <v>0</v>
      </c>
      <c r="O454" s="1" t="s">
        <v>27</v>
      </c>
      <c r="P454">
        <v>1</v>
      </c>
      <c r="Q454">
        <v>1</v>
      </c>
      <c r="R454">
        <v>15</v>
      </c>
      <c r="S454">
        <v>5</v>
      </c>
      <c r="T454">
        <v>0</v>
      </c>
      <c r="U454">
        <v>0</v>
      </c>
      <c r="V454">
        <v>4</v>
      </c>
    </row>
    <row r="455" spans="1:22">
      <c r="A455" s="1" t="s">
        <v>501</v>
      </c>
      <c r="B455" s="1" t="s">
        <v>45</v>
      </c>
      <c r="C455" s="2">
        <v>46278</v>
      </c>
      <c r="D455" s="3">
        <v>0.89583333333333337</v>
      </c>
      <c r="E455">
        <v>200</v>
      </c>
      <c r="F455">
        <v>209</v>
      </c>
      <c r="G455">
        <v>6</v>
      </c>
      <c r="H455" s="1" t="s">
        <v>46</v>
      </c>
      <c r="I455">
        <v>18.5</v>
      </c>
      <c r="J455">
        <v>22</v>
      </c>
      <c r="K455" s="1" t="s">
        <v>47</v>
      </c>
      <c r="L455" s="1" t="s">
        <v>38</v>
      </c>
      <c r="M455">
        <v>1</v>
      </c>
      <c r="N455">
        <v>0</v>
      </c>
      <c r="O455" s="1" t="s">
        <v>27</v>
      </c>
      <c r="P455">
        <v>1</v>
      </c>
      <c r="Q455">
        <v>1</v>
      </c>
      <c r="R455">
        <v>4</v>
      </c>
      <c r="S455">
        <v>21</v>
      </c>
      <c r="T455">
        <v>0</v>
      </c>
      <c r="U455">
        <v>0</v>
      </c>
      <c r="V455">
        <v>10.81</v>
      </c>
    </row>
    <row r="456" spans="1:22">
      <c r="A456" s="1" t="s">
        <v>502</v>
      </c>
      <c r="B456" s="1" t="s">
        <v>45</v>
      </c>
      <c r="C456" s="2">
        <v>46290</v>
      </c>
      <c r="D456" s="3">
        <v>0.8125</v>
      </c>
      <c r="E456">
        <v>151</v>
      </c>
      <c r="F456">
        <v>151</v>
      </c>
      <c r="G456">
        <v>7</v>
      </c>
      <c r="H456" s="1" t="s">
        <v>46</v>
      </c>
      <c r="I456">
        <v>18.5</v>
      </c>
      <c r="J456">
        <v>22</v>
      </c>
      <c r="K456" s="1" t="s">
        <v>47</v>
      </c>
      <c r="L456" s="1" t="s">
        <v>49</v>
      </c>
      <c r="M456">
        <v>0</v>
      </c>
      <c r="N456">
        <v>0</v>
      </c>
      <c r="O456" s="1" t="s">
        <v>27</v>
      </c>
      <c r="P456">
        <v>1</v>
      </c>
      <c r="Q456">
        <v>1</v>
      </c>
      <c r="R456">
        <v>4</v>
      </c>
      <c r="S456">
        <v>19</v>
      </c>
      <c r="T456">
        <v>1</v>
      </c>
      <c r="U456">
        <v>0</v>
      </c>
      <c r="V456">
        <v>8.16</v>
      </c>
    </row>
    <row r="457" spans="1:22">
      <c r="A457" s="1" t="s">
        <v>503</v>
      </c>
      <c r="B457" s="1" t="s">
        <v>29</v>
      </c>
      <c r="C457" s="2">
        <v>46272</v>
      </c>
      <c r="D457" s="3">
        <v>0.70833333333333337</v>
      </c>
      <c r="E457">
        <v>92</v>
      </c>
      <c r="F457">
        <v>89</v>
      </c>
      <c r="G457">
        <v>4</v>
      </c>
      <c r="H457" s="1" t="s">
        <v>30</v>
      </c>
      <c r="I457">
        <v>32</v>
      </c>
      <c r="J457">
        <v>14</v>
      </c>
      <c r="K457" s="1" t="s">
        <v>31</v>
      </c>
      <c r="L457" s="1" t="s">
        <v>65</v>
      </c>
      <c r="M457">
        <v>0</v>
      </c>
      <c r="N457">
        <v>0</v>
      </c>
      <c r="O457" s="1" t="s">
        <v>27</v>
      </c>
      <c r="P457">
        <v>1</v>
      </c>
      <c r="Q457">
        <v>1</v>
      </c>
      <c r="R457">
        <v>17</v>
      </c>
      <c r="S457">
        <v>17</v>
      </c>
      <c r="T457">
        <v>1</v>
      </c>
      <c r="U457">
        <v>0</v>
      </c>
      <c r="V457">
        <v>2.88</v>
      </c>
    </row>
    <row r="458" spans="1:22">
      <c r="A458" s="1" t="s">
        <v>504</v>
      </c>
      <c r="B458" s="1" t="s">
        <v>59</v>
      </c>
      <c r="C458" s="2">
        <v>46274</v>
      </c>
      <c r="D458" s="3">
        <v>0.88541666666666663</v>
      </c>
      <c r="E458">
        <v>72</v>
      </c>
      <c r="F458">
        <v>64</v>
      </c>
      <c r="G458">
        <v>3</v>
      </c>
      <c r="H458" s="1" t="s">
        <v>60</v>
      </c>
      <c r="I458">
        <v>24.8</v>
      </c>
      <c r="J458">
        <v>28</v>
      </c>
      <c r="K458" s="1" t="s">
        <v>61</v>
      </c>
      <c r="L458" s="1" t="s">
        <v>69</v>
      </c>
      <c r="M458">
        <v>0</v>
      </c>
      <c r="N458">
        <v>0</v>
      </c>
      <c r="O458" s="1" t="s">
        <v>27</v>
      </c>
      <c r="P458">
        <v>1</v>
      </c>
      <c r="Q458">
        <v>1</v>
      </c>
      <c r="R458">
        <v>11</v>
      </c>
      <c r="S458">
        <v>21</v>
      </c>
      <c r="T458">
        <v>0</v>
      </c>
      <c r="U458">
        <v>0</v>
      </c>
      <c r="V458">
        <v>2.9</v>
      </c>
    </row>
    <row r="459" spans="1:22">
      <c r="A459" s="1" t="s">
        <v>505</v>
      </c>
      <c r="B459" s="1" t="s">
        <v>23</v>
      </c>
      <c r="C459" s="2">
        <v>46287</v>
      </c>
      <c r="D459" s="3">
        <v>0.36458333333333331</v>
      </c>
      <c r="E459">
        <v>143</v>
      </c>
      <c r="F459">
        <v>140</v>
      </c>
      <c r="G459">
        <v>6</v>
      </c>
      <c r="H459" s="1" t="s">
        <v>24</v>
      </c>
      <c r="I459">
        <v>15</v>
      </c>
      <c r="J459">
        <v>16</v>
      </c>
      <c r="K459" s="1" t="s">
        <v>25</v>
      </c>
      <c r="L459" s="1" t="s">
        <v>26</v>
      </c>
      <c r="M459">
        <v>0</v>
      </c>
      <c r="N459">
        <v>0</v>
      </c>
      <c r="O459" s="1" t="s">
        <v>27</v>
      </c>
      <c r="P459">
        <v>1</v>
      </c>
      <c r="Q459">
        <v>1</v>
      </c>
      <c r="R459">
        <v>1</v>
      </c>
      <c r="S459">
        <v>8</v>
      </c>
      <c r="T459">
        <v>1</v>
      </c>
      <c r="U459">
        <v>0</v>
      </c>
      <c r="V459">
        <v>9.5299999999999994</v>
      </c>
    </row>
    <row r="460" spans="1:22">
      <c r="A460" s="1" t="s">
        <v>506</v>
      </c>
      <c r="B460" s="1" t="s">
        <v>34</v>
      </c>
      <c r="C460" s="2">
        <v>46287</v>
      </c>
      <c r="D460" s="3">
        <v>0.85416666666666663</v>
      </c>
      <c r="E460">
        <v>86</v>
      </c>
      <c r="F460">
        <v>89</v>
      </c>
      <c r="G460">
        <v>4</v>
      </c>
      <c r="H460" s="1" t="s">
        <v>35</v>
      </c>
      <c r="I460">
        <v>12.2</v>
      </c>
      <c r="J460">
        <v>18</v>
      </c>
      <c r="K460" s="1" t="s">
        <v>36</v>
      </c>
      <c r="L460" s="1" t="s">
        <v>26</v>
      </c>
      <c r="M460">
        <v>0</v>
      </c>
      <c r="N460">
        <v>0</v>
      </c>
      <c r="O460" s="1" t="s">
        <v>27</v>
      </c>
      <c r="P460">
        <v>1</v>
      </c>
      <c r="Q460">
        <v>1</v>
      </c>
      <c r="R460">
        <v>13</v>
      </c>
      <c r="S460">
        <v>20</v>
      </c>
      <c r="T460">
        <v>0</v>
      </c>
      <c r="U460">
        <v>0</v>
      </c>
      <c r="V460">
        <v>7.05</v>
      </c>
    </row>
    <row r="461" spans="1:22">
      <c r="A461" s="1" t="s">
        <v>507</v>
      </c>
      <c r="B461" s="1" t="s">
        <v>45</v>
      </c>
      <c r="C461" s="2">
        <v>46276</v>
      </c>
      <c r="D461" s="3">
        <v>0.80208333333333337</v>
      </c>
      <c r="E461">
        <v>75</v>
      </c>
      <c r="F461">
        <v>73</v>
      </c>
      <c r="G461">
        <v>5</v>
      </c>
      <c r="H461" s="1" t="s">
        <v>46</v>
      </c>
      <c r="I461">
        <v>18.5</v>
      </c>
      <c r="J461">
        <v>22</v>
      </c>
      <c r="K461" s="1" t="s">
        <v>47</v>
      </c>
      <c r="L461" s="1" t="s">
        <v>49</v>
      </c>
      <c r="M461">
        <v>0</v>
      </c>
      <c r="N461">
        <v>0</v>
      </c>
      <c r="O461" s="1" t="s">
        <v>27</v>
      </c>
      <c r="P461">
        <v>1</v>
      </c>
      <c r="Q461">
        <v>1</v>
      </c>
      <c r="R461">
        <v>6</v>
      </c>
      <c r="S461">
        <v>19</v>
      </c>
      <c r="T461">
        <v>1</v>
      </c>
      <c r="U461">
        <v>0</v>
      </c>
      <c r="V461">
        <v>4.05</v>
      </c>
    </row>
    <row r="462" spans="1:22">
      <c r="A462" s="1" t="s">
        <v>508</v>
      </c>
      <c r="B462" s="1" t="s">
        <v>23</v>
      </c>
      <c r="C462" s="2">
        <v>46279</v>
      </c>
      <c r="D462" s="3">
        <v>0.80208333333333337</v>
      </c>
      <c r="E462">
        <v>114</v>
      </c>
      <c r="F462">
        <v>109</v>
      </c>
      <c r="G462">
        <v>4</v>
      </c>
      <c r="H462" s="1" t="s">
        <v>24</v>
      </c>
      <c r="I462">
        <v>15</v>
      </c>
      <c r="J462">
        <v>16</v>
      </c>
      <c r="K462" s="1" t="s">
        <v>25</v>
      </c>
      <c r="L462" s="1" t="s">
        <v>65</v>
      </c>
      <c r="M462">
        <v>0</v>
      </c>
      <c r="N462">
        <v>0</v>
      </c>
      <c r="O462" s="1" t="s">
        <v>27</v>
      </c>
      <c r="P462">
        <v>1</v>
      </c>
      <c r="Q462">
        <v>1</v>
      </c>
      <c r="R462">
        <v>6</v>
      </c>
      <c r="S462">
        <v>19</v>
      </c>
      <c r="T462">
        <v>1</v>
      </c>
      <c r="U462">
        <v>0</v>
      </c>
      <c r="V462">
        <v>7.6</v>
      </c>
    </row>
    <row r="463" spans="1:22">
      <c r="A463" s="1" t="s">
        <v>509</v>
      </c>
      <c r="B463" s="1" t="s">
        <v>45</v>
      </c>
      <c r="C463" s="2">
        <v>46269</v>
      </c>
      <c r="D463" s="3">
        <v>0.64583333333333337</v>
      </c>
      <c r="E463">
        <v>44</v>
      </c>
      <c r="F463">
        <v>37</v>
      </c>
      <c r="G463">
        <v>5</v>
      </c>
      <c r="H463" s="1" t="s">
        <v>46</v>
      </c>
      <c r="I463">
        <v>18.5</v>
      </c>
      <c r="J463">
        <v>22</v>
      </c>
      <c r="K463" s="1" t="s">
        <v>47</v>
      </c>
      <c r="L463" s="1" t="s">
        <v>49</v>
      </c>
      <c r="M463">
        <v>0</v>
      </c>
      <c r="N463">
        <v>0</v>
      </c>
      <c r="O463" s="1" t="s">
        <v>27</v>
      </c>
      <c r="P463">
        <v>1</v>
      </c>
      <c r="Q463">
        <v>1</v>
      </c>
      <c r="R463">
        <v>3</v>
      </c>
      <c r="S463">
        <v>15</v>
      </c>
      <c r="T463">
        <v>0</v>
      </c>
      <c r="U463">
        <v>0</v>
      </c>
      <c r="V463">
        <v>2.38</v>
      </c>
    </row>
    <row r="464" spans="1:22">
      <c r="A464" s="1" t="s">
        <v>510</v>
      </c>
      <c r="B464" s="1" t="s">
        <v>29</v>
      </c>
      <c r="C464" s="2">
        <v>46291</v>
      </c>
      <c r="D464" s="3">
        <v>0.55208333333333337</v>
      </c>
      <c r="E464">
        <v>33</v>
      </c>
      <c r="F464">
        <v>33</v>
      </c>
      <c r="G464">
        <v>3</v>
      </c>
      <c r="H464" s="1" t="s">
        <v>30</v>
      </c>
      <c r="I464">
        <v>32</v>
      </c>
      <c r="J464">
        <v>14</v>
      </c>
      <c r="K464" s="1" t="s">
        <v>31</v>
      </c>
      <c r="L464" s="1" t="s">
        <v>32</v>
      </c>
      <c r="M464">
        <v>1</v>
      </c>
      <c r="N464">
        <v>0</v>
      </c>
      <c r="O464" s="1" t="s">
        <v>27</v>
      </c>
      <c r="P464">
        <v>1</v>
      </c>
      <c r="Q464">
        <v>1</v>
      </c>
      <c r="R464">
        <v>0</v>
      </c>
      <c r="S464">
        <v>13</v>
      </c>
      <c r="T464">
        <v>0</v>
      </c>
      <c r="U464">
        <v>0</v>
      </c>
      <c r="V464">
        <v>1.03</v>
      </c>
    </row>
    <row r="465" spans="1:22">
      <c r="A465" s="1" t="s">
        <v>511</v>
      </c>
      <c r="B465" s="1" t="s">
        <v>45</v>
      </c>
      <c r="C465" s="2">
        <v>46291</v>
      </c>
      <c r="D465" s="3">
        <v>0.83333333333333337</v>
      </c>
      <c r="E465">
        <v>106</v>
      </c>
      <c r="F465">
        <v>89</v>
      </c>
      <c r="G465">
        <v>6</v>
      </c>
      <c r="H465" s="1" t="s">
        <v>46</v>
      </c>
      <c r="I465">
        <v>18.5</v>
      </c>
      <c r="J465">
        <v>22</v>
      </c>
      <c r="K465" s="1" t="s">
        <v>47</v>
      </c>
      <c r="L465" s="1" t="s">
        <v>32</v>
      </c>
      <c r="M465">
        <v>1</v>
      </c>
      <c r="N465">
        <v>0</v>
      </c>
      <c r="O465" s="1" t="s">
        <v>27</v>
      </c>
      <c r="P465">
        <v>1</v>
      </c>
      <c r="Q465">
        <v>1</v>
      </c>
      <c r="R465">
        <v>4</v>
      </c>
      <c r="S465">
        <v>20</v>
      </c>
      <c r="T465">
        <v>0</v>
      </c>
      <c r="U465">
        <v>0</v>
      </c>
      <c r="V465">
        <v>5.73</v>
      </c>
    </row>
    <row r="466" spans="1:22">
      <c r="A466" s="1" t="s">
        <v>512</v>
      </c>
      <c r="B466" s="1" t="s">
        <v>45</v>
      </c>
      <c r="C466" s="2">
        <v>46294</v>
      </c>
      <c r="D466" s="3">
        <v>0.59375</v>
      </c>
      <c r="E466">
        <v>169</v>
      </c>
      <c r="F466">
        <v>163</v>
      </c>
      <c r="G466">
        <v>5</v>
      </c>
      <c r="H466" s="1" t="s">
        <v>46</v>
      </c>
      <c r="I466">
        <v>18.5</v>
      </c>
      <c r="J466">
        <v>22</v>
      </c>
      <c r="K466" s="1" t="s">
        <v>47</v>
      </c>
      <c r="L466" s="1" t="s">
        <v>26</v>
      </c>
      <c r="M466">
        <v>0</v>
      </c>
      <c r="N466">
        <v>0</v>
      </c>
      <c r="O466" s="1" t="s">
        <v>27</v>
      </c>
      <c r="P466">
        <v>1</v>
      </c>
      <c r="Q466">
        <v>1</v>
      </c>
      <c r="R466">
        <v>3</v>
      </c>
      <c r="S466">
        <v>14</v>
      </c>
      <c r="T466">
        <v>0</v>
      </c>
      <c r="U466">
        <v>0</v>
      </c>
      <c r="V466">
        <v>9.14</v>
      </c>
    </row>
    <row r="467" spans="1:22">
      <c r="A467" s="1" t="s">
        <v>513</v>
      </c>
      <c r="B467" s="1" t="s">
        <v>34</v>
      </c>
      <c r="C467" s="2">
        <v>46278</v>
      </c>
      <c r="D467" s="3">
        <v>0.29166666666666669</v>
      </c>
      <c r="E467">
        <v>124</v>
      </c>
      <c r="F467">
        <v>121</v>
      </c>
      <c r="G467">
        <v>5</v>
      </c>
      <c r="H467" s="1" t="s">
        <v>35</v>
      </c>
      <c r="I467">
        <v>12.2</v>
      </c>
      <c r="J467">
        <v>18</v>
      </c>
      <c r="K467" s="1" t="s">
        <v>36</v>
      </c>
      <c r="L467" s="1" t="s">
        <v>38</v>
      </c>
      <c r="M467">
        <v>1</v>
      </c>
      <c r="N467">
        <v>0</v>
      </c>
      <c r="O467" s="1" t="s">
        <v>27</v>
      </c>
      <c r="P467">
        <v>1</v>
      </c>
      <c r="Q467">
        <v>1</v>
      </c>
      <c r="R467">
        <v>4</v>
      </c>
      <c r="S467">
        <v>7</v>
      </c>
      <c r="T467">
        <v>0</v>
      </c>
      <c r="U467">
        <v>0</v>
      </c>
      <c r="V467">
        <v>10.16</v>
      </c>
    </row>
    <row r="468" spans="1:22">
      <c r="A468" s="1" t="s">
        <v>514</v>
      </c>
      <c r="B468" s="1" t="s">
        <v>29</v>
      </c>
      <c r="C468" s="2">
        <v>46267</v>
      </c>
      <c r="D468" s="3">
        <v>0.625</v>
      </c>
      <c r="E468">
        <v>82</v>
      </c>
      <c r="F468">
        <v>88</v>
      </c>
      <c r="G468">
        <v>5</v>
      </c>
      <c r="H468" s="1" t="s">
        <v>30</v>
      </c>
      <c r="I468">
        <v>32</v>
      </c>
      <c r="J468">
        <v>14</v>
      </c>
      <c r="K468" s="1" t="s">
        <v>31</v>
      </c>
      <c r="L468" s="1" t="s">
        <v>69</v>
      </c>
      <c r="M468">
        <v>0</v>
      </c>
      <c r="N468">
        <v>0</v>
      </c>
      <c r="O468" s="1" t="s">
        <v>27</v>
      </c>
      <c r="P468">
        <v>1</v>
      </c>
      <c r="Q468">
        <v>1</v>
      </c>
      <c r="R468">
        <v>9</v>
      </c>
      <c r="S468">
        <v>15</v>
      </c>
      <c r="T468">
        <v>0</v>
      </c>
      <c r="U468">
        <v>0</v>
      </c>
      <c r="V468">
        <v>2.56</v>
      </c>
    </row>
    <row r="469" spans="1:22">
      <c r="A469" s="1" t="s">
        <v>515</v>
      </c>
      <c r="B469" s="1" t="s">
        <v>45</v>
      </c>
      <c r="C469" s="2">
        <v>46288</v>
      </c>
      <c r="D469" s="3">
        <v>0.71875</v>
      </c>
      <c r="E469">
        <v>55</v>
      </c>
      <c r="F469">
        <v>55</v>
      </c>
      <c r="G469">
        <v>2</v>
      </c>
      <c r="H469" s="1" t="s">
        <v>46</v>
      </c>
      <c r="I469">
        <v>18.5</v>
      </c>
      <c r="J469">
        <v>22</v>
      </c>
      <c r="K469" s="1" t="s">
        <v>47</v>
      </c>
      <c r="L469" s="1" t="s">
        <v>69</v>
      </c>
      <c r="M469">
        <v>0</v>
      </c>
      <c r="N469">
        <v>0</v>
      </c>
      <c r="O469" s="1" t="s">
        <v>27</v>
      </c>
      <c r="P469">
        <v>1</v>
      </c>
      <c r="Q469">
        <v>1</v>
      </c>
      <c r="R469">
        <v>9</v>
      </c>
      <c r="S469">
        <v>17</v>
      </c>
      <c r="T469">
        <v>1</v>
      </c>
      <c r="U469">
        <v>0</v>
      </c>
      <c r="V469">
        <v>2.97</v>
      </c>
    </row>
    <row r="470" spans="1:22">
      <c r="A470" s="1" t="s">
        <v>516</v>
      </c>
      <c r="B470" s="1" t="s">
        <v>23</v>
      </c>
      <c r="C470" s="2">
        <v>46270</v>
      </c>
      <c r="D470" s="3">
        <v>0.89583333333333337</v>
      </c>
      <c r="E470">
        <v>85</v>
      </c>
      <c r="F470">
        <v>84</v>
      </c>
      <c r="G470">
        <v>5</v>
      </c>
      <c r="H470" s="1" t="s">
        <v>24</v>
      </c>
      <c r="I470">
        <v>15</v>
      </c>
      <c r="J470">
        <v>16</v>
      </c>
      <c r="K470" s="1" t="s">
        <v>25</v>
      </c>
      <c r="L470" s="1" t="s">
        <v>32</v>
      </c>
      <c r="M470">
        <v>1</v>
      </c>
      <c r="N470">
        <v>1</v>
      </c>
      <c r="O470" s="1" t="s">
        <v>27</v>
      </c>
      <c r="P470">
        <v>1</v>
      </c>
      <c r="Q470">
        <v>1</v>
      </c>
      <c r="R470">
        <v>0</v>
      </c>
      <c r="S470">
        <v>21</v>
      </c>
      <c r="T470">
        <v>0</v>
      </c>
      <c r="U470">
        <v>0</v>
      </c>
      <c r="V470">
        <v>5.67</v>
      </c>
    </row>
    <row r="471" spans="1:22">
      <c r="A471" s="1" t="s">
        <v>517</v>
      </c>
      <c r="B471" s="1" t="s">
        <v>45</v>
      </c>
      <c r="C471" s="2">
        <v>46276</v>
      </c>
      <c r="D471" s="3">
        <v>0.72916666666666663</v>
      </c>
      <c r="E471">
        <v>33</v>
      </c>
      <c r="F471">
        <v>24</v>
      </c>
      <c r="G471">
        <v>3</v>
      </c>
      <c r="H471" s="1" t="s">
        <v>46</v>
      </c>
      <c r="I471">
        <v>18.5</v>
      </c>
      <c r="J471">
        <v>22</v>
      </c>
      <c r="K471" s="1" t="s">
        <v>47</v>
      </c>
      <c r="L471" s="1" t="s">
        <v>49</v>
      </c>
      <c r="M471">
        <v>0</v>
      </c>
      <c r="N471">
        <v>0</v>
      </c>
      <c r="O471" s="1" t="s">
        <v>27</v>
      </c>
      <c r="P471">
        <v>1</v>
      </c>
      <c r="Q471">
        <v>1</v>
      </c>
      <c r="R471">
        <v>2</v>
      </c>
      <c r="S471">
        <v>17</v>
      </c>
      <c r="T471">
        <v>1</v>
      </c>
      <c r="U471">
        <v>0</v>
      </c>
      <c r="V471">
        <v>1.78</v>
      </c>
    </row>
    <row r="472" spans="1:22">
      <c r="A472" s="1" t="s">
        <v>518</v>
      </c>
      <c r="B472" s="1" t="s">
        <v>29</v>
      </c>
      <c r="C472" s="2">
        <v>46271</v>
      </c>
      <c r="D472" s="3">
        <v>0.60416666666666663</v>
      </c>
      <c r="E472">
        <v>120</v>
      </c>
      <c r="F472">
        <v>134</v>
      </c>
      <c r="G472">
        <v>4</v>
      </c>
      <c r="H472" s="1" t="s">
        <v>30</v>
      </c>
      <c r="I472">
        <v>32</v>
      </c>
      <c r="J472">
        <v>14</v>
      </c>
      <c r="K472" s="1" t="s">
        <v>31</v>
      </c>
      <c r="L472" s="1" t="s">
        <v>38</v>
      </c>
      <c r="M472">
        <v>1</v>
      </c>
      <c r="N472">
        <v>0</v>
      </c>
      <c r="O472" s="1" t="s">
        <v>27</v>
      </c>
      <c r="P472">
        <v>1</v>
      </c>
      <c r="Q472">
        <v>1</v>
      </c>
      <c r="R472">
        <v>8</v>
      </c>
      <c r="S472">
        <v>14</v>
      </c>
      <c r="T472">
        <v>0</v>
      </c>
      <c r="U472">
        <v>0</v>
      </c>
      <c r="V472">
        <v>3.75</v>
      </c>
    </row>
    <row r="473" spans="1:22">
      <c r="A473" s="1" t="s">
        <v>519</v>
      </c>
      <c r="B473" s="1" t="s">
        <v>34</v>
      </c>
      <c r="C473" s="2">
        <v>46283</v>
      </c>
      <c r="D473" s="3">
        <v>0.76041666666666663</v>
      </c>
      <c r="E473">
        <v>121</v>
      </c>
      <c r="F473">
        <v>122</v>
      </c>
      <c r="G473">
        <v>5</v>
      </c>
      <c r="H473" s="1" t="s">
        <v>35</v>
      </c>
      <c r="I473">
        <v>12.2</v>
      </c>
      <c r="J473">
        <v>18</v>
      </c>
      <c r="K473" s="1" t="s">
        <v>36</v>
      </c>
      <c r="L473" s="1" t="s">
        <v>49</v>
      </c>
      <c r="M473">
        <v>0</v>
      </c>
      <c r="N473">
        <v>0</v>
      </c>
      <c r="O473" s="1" t="s">
        <v>27</v>
      </c>
      <c r="P473">
        <v>1</v>
      </c>
      <c r="Q473">
        <v>1</v>
      </c>
      <c r="R473">
        <v>0</v>
      </c>
      <c r="S473">
        <v>18</v>
      </c>
      <c r="T473">
        <v>1</v>
      </c>
      <c r="U473">
        <v>0</v>
      </c>
      <c r="V473">
        <v>9.92</v>
      </c>
    </row>
    <row r="474" spans="1:22">
      <c r="A474" s="1" t="s">
        <v>520</v>
      </c>
      <c r="B474" s="1" t="s">
        <v>29</v>
      </c>
      <c r="C474" s="2">
        <v>46286</v>
      </c>
      <c r="D474" s="3">
        <v>0.375</v>
      </c>
      <c r="E474">
        <v>81</v>
      </c>
      <c r="F474">
        <v>88</v>
      </c>
      <c r="G474">
        <v>7</v>
      </c>
      <c r="H474" s="1" t="s">
        <v>30</v>
      </c>
      <c r="I474">
        <v>32</v>
      </c>
      <c r="J474">
        <v>14</v>
      </c>
      <c r="K474" s="1" t="s">
        <v>31</v>
      </c>
      <c r="L474" s="1" t="s">
        <v>65</v>
      </c>
      <c r="M474">
        <v>0</v>
      </c>
      <c r="N474">
        <v>0</v>
      </c>
      <c r="O474" s="1" t="s">
        <v>27</v>
      </c>
      <c r="P474">
        <v>1</v>
      </c>
      <c r="Q474">
        <v>1</v>
      </c>
      <c r="R474">
        <v>1</v>
      </c>
      <c r="S474">
        <v>9</v>
      </c>
      <c r="T474">
        <v>1</v>
      </c>
      <c r="U474">
        <v>0</v>
      </c>
      <c r="V474">
        <v>2.5299999999999998</v>
      </c>
    </row>
    <row r="475" spans="1:22">
      <c r="A475" s="1" t="s">
        <v>521</v>
      </c>
      <c r="B475" s="1" t="s">
        <v>45</v>
      </c>
      <c r="C475" s="2">
        <v>46275</v>
      </c>
      <c r="D475" s="3">
        <v>0.40625</v>
      </c>
      <c r="E475">
        <v>128</v>
      </c>
      <c r="F475">
        <v>133</v>
      </c>
      <c r="G475">
        <v>5</v>
      </c>
      <c r="H475" s="1" t="s">
        <v>46</v>
      </c>
      <c r="I475">
        <v>18.5</v>
      </c>
      <c r="J475">
        <v>22</v>
      </c>
      <c r="K475" s="1" t="s">
        <v>47</v>
      </c>
      <c r="L475" s="1" t="s">
        <v>56</v>
      </c>
      <c r="M475">
        <v>0</v>
      </c>
      <c r="N475">
        <v>0</v>
      </c>
      <c r="O475" s="1" t="s">
        <v>27</v>
      </c>
      <c r="P475">
        <v>1</v>
      </c>
      <c r="Q475">
        <v>1</v>
      </c>
      <c r="R475">
        <v>17</v>
      </c>
      <c r="S475">
        <v>9</v>
      </c>
      <c r="T475">
        <v>1</v>
      </c>
      <c r="U475">
        <v>0</v>
      </c>
      <c r="V475">
        <v>6.92</v>
      </c>
    </row>
    <row r="476" spans="1:22">
      <c r="A476" s="1" t="s">
        <v>522</v>
      </c>
      <c r="B476" s="1" t="s">
        <v>59</v>
      </c>
      <c r="C476" s="2">
        <v>46269</v>
      </c>
      <c r="D476" s="3">
        <v>0.875</v>
      </c>
      <c r="E476">
        <v>50</v>
      </c>
      <c r="F476">
        <v>55</v>
      </c>
      <c r="G476">
        <v>4</v>
      </c>
      <c r="H476" s="1" t="s">
        <v>60</v>
      </c>
      <c r="I476">
        <v>24.8</v>
      </c>
      <c r="J476">
        <v>28</v>
      </c>
      <c r="K476" s="1" t="s">
        <v>61</v>
      </c>
      <c r="L476" s="1" t="s">
        <v>49</v>
      </c>
      <c r="M476">
        <v>0</v>
      </c>
      <c r="N476">
        <v>0</v>
      </c>
      <c r="O476" s="1" t="s">
        <v>27</v>
      </c>
      <c r="P476">
        <v>1</v>
      </c>
      <c r="Q476">
        <v>1</v>
      </c>
      <c r="R476">
        <v>15</v>
      </c>
      <c r="S476">
        <v>21</v>
      </c>
      <c r="T476">
        <v>0</v>
      </c>
      <c r="U476">
        <v>0</v>
      </c>
      <c r="V476">
        <v>2.02</v>
      </c>
    </row>
    <row r="477" spans="1:22">
      <c r="A477" s="1" t="s">
        <v>523</v>
      </c>
      <c r="B477" s="1" t="s">
        <v>59</v>
      </c>
      <c r="C477" s="2">
        <v>46274</v>
      </c>
      <c r="D477" s="3">
        <v>0.61458333333333337</v>
      </c>
      <c r="E477">
        <v>103</v>
      </c>
      <c r="F477">
        <v>104</v>
      </c>
      <c r="G477">
        <v>6</v>
      </c>
      <c r="H477" s="1" t="s">
        <v>60</v>
      </c>
      <c r="I477">
        <v>24.8</v>
      </c>
      <c r="J477">
        <v>28</v>
      </c>
      <c r="K477" s="1" t="s">
        <v>61</v>
      </c>
      <c r="L477" s="1" t="s">
        <v>69</v>
      </c>
      <c r="M477">
        <v>0</v>
      </c>
      <c r="N477">
        <v>0</v>
      </c>
      <c r="O477" s="1" t="s">
        <v>27</v>
      </c>
      <c r="P477">
        <v>1</v>
      </c>
      <c r="Q477">
        <v>1</v>
      </c>
      <c r="R477">
        <v>6</v>
      </c>
      <c r="S477">
        <v>14</v>
      </c>
      <c r="T477">
        <v>0</v>
      </c>
      <c r="U477">
        <v>0</v>
      </c>
      <c r="V477">
        <v>4.1500000000000004</v>
      </c>
    </row>
    <row r="478" spans="1:22">
      <c r="A478" s="1" t="s">
        <v>524</v>
      </c>
      <c r="B478" s="1" t="s">
        <v>29</v>
      </c>
      <c r="C478" s="2">
        <v>46271</v>
      </c>
      <c r="D478" s="3">
        <v>0.40625</v>
      </c>
      <c r="E478">
        <v>89</v>
      </c>
      <c r="F478">
        <v>88</v>
      </c>
      <c r="G478">
        <v>3</v>
      </c>
      <c r="H478" s="1" t="s">
        <v>30</v>
      </c>
      <c r="I478">
        <v>32</v>
      </c>
      <c r="J478">
        <v>14</v>
      </c>
      <c r="K478" s="1" t="s">
        <v>31</v>
      </c>
      <c r="L478" s="1" t="s">
        <v>38</v>
      </c>
      <c r="M478">
        <v>1</v>
      </c>
      <c r="N478">
        <v>0</v>
      </c>
      <c r="O478" s="1" t="s">
        <v>27</v>
      </c>
      <c r="P478">
        <v>1</v>
      </c>
      <c r="Q478">
        <v>1</v>
      </c>
      <c r="R478">
        <v>5</v>
      </c>
      <c r="S478">
        <v>9</v>
      </c>
      <c r="T478">
        <v>1</v>
      </c>
      <c r="U478">
        <v>0</v>
      </c>
      <c r="V478">
        <v>2.78</v>
      </c>
    </row>
    <row r="479" spans="1:22">
      <c r="A479" s="1" t="s">
        <v>525</v>
      </c>
      <c r="B479" s="1" t="s">
        <v>29</v>
      </c>
      <c r="C479" s="2">
        <v>46267</v>
      </c>
      <c r="D479" s="3">
        <v>0.42708333333333331</v>
      </c>
      <c r="E479">
        <v>138</v>
      </c>
      <c r="F479">
        <v>145</v>
      </c>
      <c r="G479">
        <v>4</v>
      </c>
      <c r="H479" s="1" t="s">
        <v>30</v>
      </c>
      <c r="I479">
        <v>32</v>
      </c>
      <c r="J479">
        <v>14</v>
      </c>
      <c r="K479" s="1" t="s">
        <v>31</v>
      </c>
      <c r="L479" s="1" t="s">
        <v>69</v>
      </c>
      <c r="M479">
        <v>0</v>
      </c>
      <c r="N479">
        <v>0</v>
      </c>
      <c r="O479" s="1" t="s">
        <v>27</v>
      </c>
      <c r="P479">
        <v>1</v>
      </c>
      <c r="Q479">
        <v>1</v>
      </c>
      <c r="R479">
        <v>7</v>
      </c>
      <c r="S479">
        <v>10</v>
      </c>
      <c r="T479">
        <v>1</v>
      </c>
      <c r="U479">
        <v>0</v>
      </c>
      <c r="V479">
        <v>4.3099999999999996</v>
      </c>
    </row>
    <row r="480" spans="1:22">
      <c r="A480" s="1" t="s">
        <v>526</v>
      </c>
      <c r="B480" s="1" t="s">
        <v>23</v>
      </c>
      <c r="C480" s="2">
        <v>46282</v>
      </c>
      <c r="D480" s="3">
        <v>0.34375</v>
      </c>
      <c r="E480">
        <v>96</v>
      </c>
      <c r="F480">
        <v>84</v>
      </c>
      <c r="G480">
        <v>4</v>
      </c>
      <c r="H480" s="1" t="s">
        <v>24</v>
      </c>
      <c r="I480">
        <v>15</v>
      </c>
      <c r="J480">
        <v>16</v>
      </c>
      <c r="K480" s="1" t="s">
        <v>25</v>
      </c>
      <c r="L480" s="1" t="s">
        <v>56</v>
      </c>
      <c r="M480">
        <v>0</v>
      </c>
      <c r="N480">
        <v>0</v>
      </c>
      <c r="O480" s="1" t="s">
        <v>27</v>
      </c>
      <c r="P480">
        <v>1</v>
      </c>
      <c r="Q480">
        <v>1</v>
      </c>
      <c r="R480">
        <v>0</v>
      </c>
      <c r="S480">
        <v>8</v>
      </c>
      <c r="T480">
        <v>1</v>
      </c>
      <c r="U480">
        <v>0</v>
      </c>
      <c r="V480">
        <v>6.4</v>
      </c>
    </row>
    <row r="481" spans="1:22">
      <c r="A481" s="1" t="s">
        <v>527</v>
      </c>
      <c r="B481" s="1" t="s">
        <v>23</v>
      </c>
      <c r="C481" s="2">
        <v>46270</v>
      </c>
      <c r="D481" s="3">
        <v>0.47916666666666669</v>
      </c>
      <c r="E481">
        <v>126</v>
      </c>
      <c r="F481">
        <v>128</v>
      </c>
      <c r="G481">
        <v>5</v>
      </c>
      <c r="H481" s="1" t="s">
        <v>24</v>
      </c>
      <c r="I481">
        <v>15</v>
      </c>
      <c r="J481">
        <v>16</v>
      </c>
      <c r="K481" s="1" t="s">
        <v>25</v>
      </c>
      <c r="L481" s="1" t="s">
        <v>32</v>
      </c>
      <c r="M481">
        <v>1</v>
      </c>
      <c r="N481">
        <v>1</v>
      </c>
      <c r="O481" s="1" t="s">
        <v>27</v>
      </c>
      <c r="P481">
        <v>1</v>
      </c>
      <c r="Q481">
        <v>1</v>
      </c>
      <c r="R481">
        <v>3</v>
      </c>
      <c r="S481">
        <v>11</v>
      </c>
      <c r="T481">
        <v>0</v>
      </c>
      <c r="U481">
        <v>0</v>
      </c>
      <c r="V481">
        <v>8.4</v>
      </c>
    </row>
    <row r="482" spans="1:22">
      <c r="A482" s="1" t="s">
        <v>528</v>
      </c>
      <c r="B482" s="1" t="s">
        <v>29</v>
      </c>
      <c r="C482" s="2">
        <v>46290</v>
      </c>
      <c r="D482" s="3">
        <v>0.9375</v>
      </c>
      <c r="E482">
        <v>77</v>
      </c>
      <c r="F482">
        <v>78</v>
      </c>
      <c r="G482">
        <v>3</v>
      </c>
      <c r="H482" s="1" t="s">
        <v>30</v>
      </c>
      <c r="I482">
        <v>32</v>
      </c>
      <c r="J482">
        <v>14</v>
      </c>
      <c r="K482" s="1" t="s">
        <v>31</v>
      </c>
      <c r="L482" s="1" t="s">
        <v>49</v>
      </c>
      <c r="M482">
        <v>0</v>
      </c>
      <c r="N482">
        <v>0</v>
      </c>
      <c r="O482" s="1" t="s">
        <v>27</v>
      </c>
      <c r="P482">
        <v>1</v>
      </c>
      <c r="Q482">
        <v>1</v>
      </c>
      <c r="R482">
        <v>18</v>
      </c>
      <c r="S482">
        <v>22</v>
      </c>
      <c r="T482">
        <v>0</v>
      </c>
      <c r="U482">
        <v>0</v>
      </c>
      <c r="V482">
        <v>2.41</v>
      </c>
    </row>
    <row r="483" spans="1:22">
      <c r="A483" s="1" t="s">
        <v>529</v>
      </c>
      <c r="B483" s="1" t="s">
        <v>45</v>
      </c>
      <c r="C483" s="2">
        <v>46271</v>
      </c>
      <c r="D483" s="3">
        <v>0.23958333333333334</v>
      </c>
      <c r="E483">
        <v>64</v>
      </c>
      <c r="F483">
        <v>55</v>
      </c>
      <c r="G483">
        <v>3</v>
      </c>
      <c r="H483" s="1" t="s">
        <v>46</v>
      </c>
      <c r="I483">
        <v>18.5</v>
      </c>
      <c r="J483">
        <v>22</v>
      </c>
      <c r="K483" s="1" t="s">
        <v>47</v>
      </c>
      <c r="L483" s="1" t="s">
        <v>38</v>
      </c>
      <c r="M483">
        <v>1</v>
      </c>
      <c r="N483">
        <v>0</v>
      </c>
      <c r="O483" s="1" t="s">
        <v>27</v>
      </c>
      <c r="P483">
        <v>1</v>
      </c>
      <c r="Q483">
        <v>1</v>
      </c>
      <c r="R483">
        <v>0</v>
      </c>
      <c r="S483">
        <v>5</v>
      </c>
      <c r="T483">
        <v>0</v>
      </c>
      <c r="U483">
        <v>0</v>
      </c>
      <c r="V483">
        <v>3.46</v>
      </c>
    </row>
    <row r="484" spans="1:22">
      <c r="A484" s="1" t="s">
        <v>530</v>
      </c>
      <c r="B484" s="1" t="s">
        <v>45</v>
      </c>
      <c r="C484" s="2">
        <v>46291</v>
      </c>
      <c r="D484" s="3">
        <v>0.34375</v>
      </c>
      <c r="E484">
        <v>159</v>
      </c>
      <c r="F484">
        <v>160</v>
      </c>
      <c r="G484">
        <v>6</v>
      </c>
      <c r="H484" s="1" t="s">
        <v>46</v>
      </c>
      <c r="I484">
        <v>18.5</v>
      </c>
      <c r="J484">
        <v>22</v>
      </c>
      <c r="K484" s="1" t="s">
        <v>47</v>
      </c>
      <c r="L484" s="1" t="s">
        <v>32</v>
      </c>
      <c r="M484">
        <v>1</v>
      </c>
      <c r="N484">
        <v>0</v>
      </c>
      <c r="O484" s="1" t="s">
        <v>27</v>
      </c>
      <c r="P484">
        <v>1</v>
      </c>
      <c r="Q484">
        <v>1</v>
      </c>
      <c r="R484">
        <v>2</v>
      </c>
      <c r="S484">
        <v>8</v>
      </c>
      <c r="T484">
        <v>1</v>
      </c>
      <c r="U484">
        <v>0</v>
      </c>
      <c r="V484">
        <v>8.59</v>
      </c>
    </row>
    <row r="485" spans="1:22">
      <c r="A485" s="1" t="s">
        <v>531</v>
      </c>
      <c r="B485" s="1" t="s">
        <v>23</v>
      </c>
      <c r="C485" s="2">
        <v>46277</v>
      </c>
      <c r="D485" s="3">
        <v>0.55208333333333337</v>
      </c>
      <c r="E485">
        <v>111</v>
      </c>
      <c r="F485">
        <v>116</v>
      </c>
      <c r="G485">
        <v>4</v>
      </c>
      <c r="H485" s="1" t="s">
        <v>24</v>
      </c>
      <c r="I485">
        <v>15</v>
      </c>
      <c r="J485">
        <v>16</v>
      </c>
      <c r="K485" s="1" t="s">
        <v>25</v>
      </c>
      <c r="L485" s="1" t="s">
        <v>32</v>
      </c>
      <c r="M485">
        <v>1</v>
      </c>
      <c r="N485">
        <v>0</v>
      </c>
      <c r="O485" s="1" t="s">
        <v>40</v>
      </c>
      <c r="P485">
        <v>1</v>
      </c>
      <c r="Q485">
        <v>1</v>
      </c>
      <c r="R485">
        <v>0</v>
      </c>
      <c r="S485">
        <v>13</v>
      </c>
      <c r="T485">
        <v>0</v>
      </c>
      <c r="U485">
        <v>1</v>
      </c>
      <c r="V485">
        <v>7.4</v>
      </c>
    </row>
    <row r="486" spans="1:22">
      <c r="A486" s="1" t="s">
        <v>532</v>
      </c>
      <c r="B486" s="1" t="s">
        <v>23</v>
      </c>
      <c r="C486" s="2">
        <v>46288</v>
      </c>
      <c r="D486" s="3">
        <v>0.78125</v>
      </c>
      <c r="E486">
        <v>80</v>
      </c>
      <c r="F486">
        <v>75</v>
      </c>
      <c r="G486">
        <v>5</v>
      </c>
      <c r="H486" s="1" t="s">
        <v>24</v>
      </c>
      <c r="I486">
        <v>15</v>
      </c>
      <c r="J486">
        <v>16</v>
      </c>
      <c r="K486" s="1" t="s">
        <v>25</v>
      </c>
      <c r="L486" s="1" t="s">
        <v>69</v>
      </c>
      <c r="M486">
        <v>0</v>
      </c>
      <c r="N486">
        <v>0</v>
      </c>
      <c r="O486" s="1" t="s">
        <v>27</v>
      </c>
      <c r="P486">
        <v>1</v>
      </c>
      <c r="Q486">
        <v>1</v>
      </c>
      <c r="R486">
        <v>7</v>
      </c>
      <c r="S486">
        <v>18</v>
      </c>
      <c r="T486">
        <v>1</v>
      </c>
      <c r="U486">
        <v>0</v>
      </c>
      <c r="V486">
        <v>5.33</v>
      </c>
    </row>
    <row r="487" spans="1:22">
      <c r="A487" s="1" t="s">
        <v>533</v>
      </c>
      <c r="B487" s="1" t="s">
        <v>59</v>
      </c>
      <c r="C487" s="2">
        <v>46286</v>
      </c>
      <c r="D487" s="3">
        <v>0.69791666666666663</v>
      </c>
      <c r="E487">
        <v>43</v>
      </c>
      <c r="F487">
        <v>37</v>
      </c>
      <c r="G487">
        <v>3</v>
      </c>
      <c r="H487" s="1" t="s">
        <v>60</v>
      </c>
      <c r="I487">
        <v>24.8</v>
      </c>
      <c r="J487">
        <v>28</v>
      </c>
      <c r="K487" s="1" t="s">
        <v>61</v>
      </c>
      <c r="L487" s="1" t="s">
        <v>65</v>
      </c>
      <c r="M487">
        <v>0</v>
      </c>
      <c r="N487">
        <v>0</v>
      </c>
      <c r="O487" s="1" t="s">
        <v>27</v>
      </c>
      <c r="P487">
        <v>1</v>
      </c>
      <c r="Q487">
        <v>1</v>
      </c>
      <c r="R487">
        <v>4</v>
      </c>
      <c r="S487">
        <v>16</v>
      </c>
      <c r="T487">
        <v>0</v>
      </c>
      <c r="U487">
        <v>0</v>
      </c>
      <c r="V487">
        <v>1.73</v>
      </c>
    </row>
    <row r="488" spans="1:22">
      <c r="A488" s="1" t="s">
        <v>534</v>
      </c>
      <c r="B488" s="1" t="s">
        <v>29</v>
      </c>
      <c r="C488" s="2">
        <v>46275</v>
      </c>
      <c r="D488" s="3">
        <v>0.33333333333333331</v>
      </c>
      <c r="E488">
        <v>67</v>
      </c>
      <c r="F488">
        <v>61</v>
      </c>
      <c r="G488">
        <v>4</v>
      </c>
      <c r="H488" s="1" t="s">
        <v>30</v>
      </c>
      <c r="I488">
        <v>32</v>
      </c>
      <c r="J488">
        <v>14</v>
      </c>
      <c r="K488" s="1" t="s">
        <v>31</v>
      </c>
      <c r="L488" s="1" t="s">
        <v>56</v>
      </c>
      <c r="M488">
        <v>0</v>
      </c>
      <c r="N488">
        <v>0</v>
      </c>
      <c r="O488" s="1" t="s">
        <v>27</v>
      </c>
      <c r="P488">
        <v>1</v>
      </c>
      <c r="Q488">
        <v>1</v>
      </c>
      <c r="R488">
        <v>0</v>
      </c>
      <c r="S488">
        <v>8</v>
      </c>
      <c r="T488">
        <v>1</v>
      </c>
      <c r="U488">
        <v>0</v>
      </c>
      <c r="V488">
        <v>2.09</v>
      </c>
    </row>
    <row r="489" spans="1:22">
      <c r="A489" s="1" t="s">
        <v>535</v>
      </c>
      <c r="B489" s="1" t="s">
        <v>45</v>
      </c>
      <c r="C489" s="2">
        <v>46287</v>
      </c>
      <c r="D489" s="3">
        <v>0.67708333333333337</v>
      </c>
      <c r="E489">
        <v>151</v>
      </c>
      <c r="F489">
        <v>148</v>
      </c>
      <c r="G489">
        <v>6</v>
      </c>
      <c r="H489" s="1" t="s">
        <v>46</v>
      </c>
      <c r="I489">
        <v>18.5</v>
      </c>
      <c r="J489">
        <v>22</v>
      </c>
      <c r="K489" s="1" t="s">
        <v>47</v>
      </c>
      <c r="L489" s="1" t="s">
        <v>26</v>
      </c>
      <c r="M489">
        <v>0</v>
      </c>
      <c r="N489">
        <v>0</v>
      </c>
      <c r="O489" s="1" t="s">
        <v>27</v>
      </c>
      <c r="P489">
        <v>1</v>
      </c>
      <c r="Q489">
        <v>1</v>
      </c>
      <c r="R489">
        <v>4</v>
      </c>
      <c r="S489">
        <v>16</v>
      </c>
      <c r="T489">
        <v>0</v>
      </c>
      <c r="U489">
        <v>0</v>
      </c>
      <c r="V489">
        <v>8.16</v>
      </c>
    </row>
    <row r="490" spans="1:22">
      <c r="A490" s="1" t="s">
        <v>536</v>
      </c>
      <c r="B490" s="1" t="s">
        <v>45</v>
      </c>
      <c r="C490" s="2">
        <v>46286</v>
      </c>
      <c r="D490" s="3">
        <v>0.47916666666666669</v>
      </c>
      <c r="E490">
        <v>88</v>
      </c>
      <c r="F490">
        <v>92</v>
      </c>
      <c r="G490">
        <v>6</v>
      </c>
      <c r="H490" s="1" t="s">
        <v>46</v>
      </c>
      <c r="I490">
        <v>18.5</v>
      </c>
      <c r="J490">
        <v>22</v>
      </c>
      <c r="K490" s="1" t="s">
        <v>47</v>
      </c>
      <c r="L490" s="1" t="s">
        <v>65</v>
      </c>
      <c r="M490">
        <v>0</v>
      </c>
      <c r="N490">
        <v>0</v>
      </c>
      <c r="O490" s="1" t="s">
        <v>27</v>
      </c>
      <c r="P490">
        <v>1</v>
      </c>
      <c r="Q490">
        <v>1</v>
      </c>
      <c r="R490">
        <v>8</v>
      </c>
      <c r="S490">
        <v>11</v>
      </c>
      <c r="T490">
        <v>0</v>
      </c>
      <c r="U490">
        <v>0</v>
      </c>
      <c r="V490">
        <v>4.76</v>
      </c>
    </row>
    <row r="491" spans="1:22">
      <c r="A491" s="1" t="s">
        <v>537</v>
      </c>
      <c r="B491" s="1" t="s">
        <v>23</v>
      </c>
      <c r="C491" s="2">
        <v>46292</v>
      </c>
      <c r="D491" s="3">
        <v>0.78125</v>
      </c>
      <c r="E491">
        <v>52</v>
      </c>
      <c r="F491">
        <v>46</v>
      </c>
      <c r="G491">
        <v>3</v>
      </c>
      <c r="H491" s="1" t="s">
        <v>24</v>
      </c>
      <c r="I491">
        <v>15</v>
      </c>
      <c r="J491">
        <v>16</v>
      </c>
      <c r="K491" s="1" t="s">
        <v>25</v>
      </c>
      <c r="L491" s="1" t="s">
        <v>38</v>
      </c>
      <c r="M491">
        <v>1</v>
      </c>
      <c r="N491">
        <v>0</v>
      </c>
      <c r="O491" s="1" t="s">
        <v>134</v>
      </c>
      <c r="P491">
        <v>1</v>
      </c>
      <c r="Q491">
        <v>1</v>
      </c>
      <c r="R491">
        <v>2</v>
      </c>
      <c r="S491">
        <v>18</v>
      </c>
      <c r="T491">
        <v>1</v>
      </c>
      <c r="U491">
        <v>1</v>
      </c>
      <c r="V491">
        <v>3.47</v>
      </c>
    </row>
    <row r="492" spans="1:22">
      <c r="A492" s="1" t="s">
        <v>538</v>
      </c>
      <c r="B492" s="1" t="s">
        <v>59</v>
      </c>
      <c r="C492" s="2">
        <v>46290</v>
      </c>
      <c r="D492" s="3">
        <v>0.61458333333333337</v>
      </c>
      <c r="E492">
        <v>60</v>
      </c>
      <c r="F492">
        <v>61</v>
      </c>
      <c r="G492">
        <v>3</v>
      </c>
      <c r="H492" s="1" t="s">
        <v>60</v>
      </c>
      <c r="I492">
        <v>24.8</v>
      </c>
      <c r="J492">
        <v>28</v>
      </c>
      <c r="K492" s="1" t="s">
        <v>61</v>
      </c>
      <c r="L492" s="1" t="s">
        <v>49</v>
      </c>
      <c r="M492">
        <v>0</v>
      </c>
      <c r="N492">
        <v>0</v>
      </c>
      <c r="O492" s="1" t="s">
        <v>27</v>
      </c>
      <c r="P492">
        <v>1</v>
      </c>
      <c r="Q492">
        <v>1</v>
      </c>
      <c r="R492">
        <v>6</v>
      </c>
      <c r="S492">
        <v>14</v>
      </c>
      <c r="T492">
        <v>0</v>
      </c>
      <c r="U492">
        <v>0</v>
      </c>
      <c r="V492">
        <v>2.42</v>
      </c>
    </row>
    <row r="493" spans="1:22">
      <c r="A493" s="1" t="s">
        <v>539</v>
      </c>
      <c r="B493" s="1" t="s">
        <v>34</v>
      </c>
      <c r="C493" s="2">
        <v>46271</v>
      </c>
      <c r="D493" s="3">
        <v>0.84375</v>
      </c>
      <c r="E493">
        <v>127</v>
      </c>
      <c r="F493">
        <v>127</v>
      </c>
      <c r="G493">
        <v>6</v>
      </c>
      <c r="H493" s="1" t="s">
        <v>35</v>
      </c>
      <c r="I493">
        <v>12.2</v>
      </c>
      <c r="J493">
        <v>18</v>
      </c>
      <c r="K493" s="1" t="s">
        <v>36</v>
      </c>
      <c r="L493" s="1" t="s">
        <v>38</v>
      </c>
      <c r="M493">
        <v>1</v>
      </c>
      <c r="N493">
        <v>0</v>
      </c>
      <c r="O493" s="1" t="s">
        <v>27</v>
      </c>
      <c r="P493">
        <v>1</v>
      </c>
      <c r="Q493">
        <v>1</v>
      </c>
      <c r="R493">
        <v>4</v>
      </c>
      <c r="S493">
        <v>20</v>
      </c>
      <c r="T493">
        <v>0</v>
      </c>
      <c r="U493">
        <v>0</v>
      </c>
      <c r="V493">
        <v>10.41</v>
      </c>
    </row>
    <row r="494" spans="1:22">
      <c r="A494" s="1" t="s">
        <v>540</v>
      </c>
      <c r="B494" s="1" t="s">
        <v>59</v>
      </c>
      <c r="C494" s="2">
        <v>46292</v>
      </c>
      <c r="D494" s="3">
        <v>0.58333333333333337</v>
      </c>
      <c r="E494">
        <v>72</v>
      </c>
      <c r="F494">
        <v>74</v>
      </c>
      <c r="G494">
        <v>4</v>
      </c>
      <c r="H494" s="1" t="s">
        <v>60</v>
      </c>
      <c r="I494">
        <v>24.8</v>
      </c>
      <c r="J494">
        <v>28</v>
      </c>
      <c r="K494" s="1" t="s">
        <v>61</v>
      </c>
      <c r="L494" s="1" t="s">
        <v>38</v>
      </c>
      <c r="M494">
        <v>1</v>
      </c>
      <c r="N494">
        <v>0</v>
      </c>
      <c r="O494" s="1" t="s">
        <v>134</v>
      </c>
      <c r="P494">
        <v>1</v>
      </c>
      <c r="Q494">
        <v>1</v>
      </c>
      <c r="R494">
        <v>0</v>
      </c>
      <c r="S494">
        <v>14</v>
      </c>
      <c r="T494">
        <v>0</v>
      </c>
      <c r="U494">
        <v>1</v>
      </c>
      <c r="V494">
        <v>2.9</v>
      </c>
    </row>
    <row r="495" spans="1:22">
      <c r="A495" s="1" t="s">
        <v>541</v>
      </c>
      <c r="B495" s="1" t="s">
        <v>45</v>
      </c>
      <c r="C495" s="2">
        <v>46273</v>
      </c>
      <c r="D495" s="3">
        <v>0.71875</v>
      </c>
      <c r="E495">
        <v>137</v>
      </c>
      <c r="F495">
        <v>139</v>
      </c>
      <c r="G495">
        <v>4</v>
      </c>
      <c r="H495" s="1" t="s">
        <v>46</v>
      </c>
      <c r="I495">
        <v>18.5</v>
      </c>
      <c r="J495">
        <v>22</v>
      </c>
      <c r="K495" s="1" t="s">
        <v>47</v>
      </c>
      <c r="L495" s="1" t="s">
        <v>26</v>
      </c>
      <c r="M495">
        <v>0</v>
      </c>
      <c r="N495">
        <v>0</v>
      </c>
      <c r="O495" s="1" t="s">
        <v>27</v>
      </c>
      <c r="P495">
        <v>1</v>
      </c>
      <c r="Q495">
        <v>1</v>
      </c>
      <c r="R495">
        <v>2</v>
      </c>
      <c r="S495">
        <v>17</v>
      </c>
      <c r="T495">
        <v>1</v>
      </c>
      <c r="U495">
        <v>0</v>
      </c>
      <c r="V495">
        <v>7.41</v>
      </c>
    </row>
    <row r="496" spans="1:22">
      <c r="A496" s="1" t="s">
        <v>542</v>
      </c>
      <c r="B496" s="1" t="s">
        <v>45</v>
      </c>
      <c r="C496" s="2">
        <v>46267</v>
      </c>
      <c r="D496" s="3">
        <v>0.66666666666666663</v>
      </c>
      <c r="E496">
        <v>147</v>
      </c>
      <c r="F496">
        <v>143</v>
      </c>
      <c r="G496">
        <v>6</v>
      </c>
      <c r="H496" s="1" t="s">
        <v>46</v>
      </c>
      <c r="I496">
        <v>18.5</v>
      </c>
      <c r="J496">
        <v>22</v>
      </c>
      <c r="K496" s="1" t="s">
        <v>47</v>
      </c>
      <c r="L496" s="1" t="s">
        <v>69</v>
      </c>
      <c r="M496">
        <v>0</v>
      </c>
      <c r="N496">
        <v>0</v>
      </c>
      <c r="O496" s="1" t="s">
        <v>27</v>
      </c>
      <c r="P496">
        <v>1</v>
      </c>
      <c r="Q496">
        <v>1</v>
      </c>
      <c r="R496">
        <v>0</v>
      </c>
      <c r="S496">
        <v>16</v>
      </c>
      <c r="T496">
        <v>0</v>
      </c>
      <c r="U496">
        <v>0</v>
      </c>
      <c r="V496">
        <v>7.95</v>
      </c>
    </row>
    <row r="497" spans="1:22">
      <c r="A497" s="1" t="s">
        <v>543</v>
      </c>
      <c r="B497" s="1" t="s">
        <v>59</v>
      </c>
      <c r="C497" s="2">
        <v>46277</v>
      </c>
      <c r="D497" s="3">
        <v>0.73958333333333337</v>
      </c>
      <c r="E497">
        <v>64</v>
      </c>
      <c r="F497">
        <v>53</v>
      </c>
      <c r="G497">
        <v>4</v>
      </c>
      <c r="H497" s="1" t="s">
        <v>60</v>
      </c>
      <c r="I497">
        <v>24.8</v>
      </c>
      <c r="J497">
        <v>28</v>
      </c>
      <c r="K497" s="1" t="s">
        <v>61</v>
      </c>
      <c r="L497" s="1" t="s">
        <v>32</v>
      </c>
      <c r="M497">
        <v>1</v>
      </c>
      <c r="N497">
        <v>0</v>
      </c>
      <c r="O497" s="1" t="s">
        <v>40</v>
      </c>
      <c r="P497">
        <v>1</v>
      </c>
      <c r="Q497">
        <v>1</v>
      </c>
      <c r="R497">
        <v>4</v>
      </c>
      <c r="S497">
        <v>17</v>
      </c>
      <c r="T497">
        <v>1</v>
      </c>
      <c r="U497">
        <v>1</v>
      </c>
      <c r="V497">
        <v>2.58</v>
      </c>
    </row>
    <row r="498" spans="1:22">
      <c r="A498" s="1" t="s">
        <v>544</v>
      </c>
      <c r="B498" s="1" t="s">
        <v>45</v>
      </c>
      <c r="C498" s="2">
        <v>46278</v>
      </c>
      <c r="D498" s="3">
        <v>0.65625</v>
      </c>
      <c r="E498">
        <v>69</v>
      </c>
      <c r="F498">
        <v>75</v>
      </c>
      <c r="G498">
        <v>3</v>
      </c>
      <c r="H498" s="1" t="s">
        <v>46</v>
      </c>
      <c r="I498">
        <v>18.5</v>
      </c>
      <c r="J498">
        <v>22</v>
      </c>
      <c r="K498" s="1" t="s">
        <v>47</v>
      </c>
      <c r="L498" s="1" t="s">
        <v>38</v>
      </c>
      <c r="M498">
        <v>1</v>
      </c>
      <c r="N498">
        <v>0</v>
      </c>
      <c r="O498" s="1" t="s">
        <v>27</v>
      </c>
      <c r="P498">
        <v>1</v>
      </c>
      <c r="Q498">
        <v>1</v>
      </c>
      <c r="R498">
        <v>8</v>
      </c>
      <c r="S498">
        <v>15</v>
      </c>
      <c r="T498">
        <v>0</v>
      </c>
      <c r="U498">
        <v>0</v>
      </c>
      <c r="V498">
        <v>3.73</v>
      </c>
    </row>
    <row r="499" spans="1:22">
      <c r="A499" s="1" t="s">
        <v>545</v>
      </c>
      <c r="B499" s="1" t="s">
        <v>29</v>
      </c>
      <c r="C499" s="2">
        <v>46290</v>
      </c>
      <c r="D499" s="3">
        <v>0.92708333333333337</v>
      </c>
      <c r="E499">
        <v>85</v>
      </c>
      <c r="F499">
        <v>78</v>
      </c>
      <c r="G499">
        <v>6</v>
      </c>
      <c r="H499" s="1" t="s">
        <v>30</v>
      </c>
      <c r="I499">
        <v>32</v>
      </c>
      <c r="J499">
        <v>14</v>
      </c>
      <c r="K499" s="1" t="s">
        <v>31</v>
      </c>
      <c r="L499" s="1" t="s">
        <v>49</v>
      </c>
      <c r="M499">
        <v>0</v>
      </c>
      <c r="N499">
        <v>0</v>
      </c>
      <c r="O499" s="1" t="s">
        <v>27</v>
      </c>
      <c r="P499">
        <v>1</v>
      </c>
      <c r="Q499">
        <v>1</v>
      </c>
      <c r="R499">
        <v>8</v>
      </c>
      <c r="S499">
        <v>22</v>
      </c>
      <c r="T499">
        <v>0</v>
      </c>
      <c r="U499">
        <v>0</v>
      </c>
      <c r="V499">
        <v>2.66</v>
      </c>
    </row>
    <row r="500" spans="1:22">
      <c r="A500" s="1" t="s">
        <v>546</v>
      </c>
      <c r="B500" s="1" t="s">
        <v>45</v>
      </c>
      <c r="C500" s="2">
        <v>46286</v>
      </c>
      <c r="D500" s="3">
        <v>0.625</v>
      </c>
      <c r="E500">
        <v>47</v>
      </c>
      <c r="F500">
        <v>41</v>
      </c>
      <c r="G500">
        <v>2</v>
      </c>
      <c r="H500" s="1" t="s">
        <v>46</v>
      </c>
      <c r="I500">
        <v>18.5</v>
      </c>
      <c r="J500">
        <v>22</v>
      </c>
      <c r="K500" s="1" t="s">
        <v>47</v>
      </c>
      <c r="L500" s="1" t="s">
        <v>65</v>
      </c>
      <c r="M500">
        <v>0</v>
      </c>
      <c r="N500">
        <v>0</v>
      </c>
      <c r="O500" s="1" t="s">
        <v>27</v>
      </c>
      <c r="P500">
        <v>1</v>
      </c>
      <c r="Q500">
        <v>1</v>
      </c>
      <c r="R500">
        <v>7</v>
      </c>
      <c r="S500">
        <v>15</v>
      </c>
      <c r="T500">
        <v>0</v>
      </c>
      <c r="U500">
        <v>0</v>
      </c>
      <c r="V500">
        <v>2.54</v>
      </c>
    </row>
    <row r="501" spans="1:22">
      <c r="A501" s="1" t="s">
        <v>547</v>
      </c>
      <c r="B501" s="1" t="s">
        <v>59</v>
      </c>
      <c r="C501" s="2">
        <v>46272</v>
      </c>
      <c r="D501" s="3">
        <v>0.34375</v>
      </c>
      <c r="E501">
        <v>131</v>
      </c>
      <c r="F501">
        <v>132</v>
      </c>
      <c r="G501">
        <v>4</v>
      </c>
      <c r="H501" s="1" t="s">
        <v>60</v>
      </c>
      <c r="I501">
        <v>24.8</v>
      </c>
      <c r="J501">
        <v>28</v>
      </c>
      <c r="K501" s="1" t="s">
        <v>61</v>
      </c>
      <c r="L501" s="1" t="s">
        <v>65</v>
      </c>
      <c r="M501">
        <v>0</v>
      </c>
      <c r="N501">
        <v>0</v>
      </c>
      <c r="O501" s="1" t="s">
        <v>27</v>
      </c>
      <c r="P501">
        <v>1</v>
      </c>
      <c r="Q501">
        <v>1</v>
      </c>
      <c r="R501">
        <v>0</v>
      </c>
      <c r="S501">
        <v>8</v>
      </c>
      <c r="T501">
        <v>1</v>
      </c>
      <c r="U501">
        <v>0</v>
      </c>
      <c r="V501">
        <v>5.28</v>
      </c>
    </row>
    <row r="502" spans="1:22">
      <c r="A502" s="1" t="s">
        <v>548</v>
      </c>
      <c r="B502" s="1" t="s">
        <v>23</v>
      </c>
      <c r="C502" s="2">
        <v>46275</v>
      </c>
      <c r="D502" s="3">
        <v>0.22916666666666666</v>
      </c>
      <c r="E502">
        <v>100</v>
      </c>
      <c r="F502">
        <v>98</v>
      </c>
      <c r="G502">
        <v>5</v>
      </c>
      <c r="H502" s="1" t="s">
        <v>24</v>
      </c>
      <c r="I502">
        <v>15</v>
      </c>
      <c r="J502">
        <v>16</v>
      </c>
      <c r="K502" s="1" t="s">
        <v>25</v>
      </c>
      <c r="L502" s="1" t="s">
        <v>56</v>
      </c>
      <c r="M502">
        <v>0</v>
      </c>
      <c r="N502">
        <v>0</v>
      </c>
      <c r="O502" s="1" t="s">
        <v>27</v>
      </c>
      <c r="P502">
        <v>1</v>
      </c>
      <c r="Q502">
        <v>1</v>
      </c>
      <c r="R502">
        <v>13</v>
      </c>
      <c r="S502">
        <v>5</v>
      </c>
      <c r="T502">
        <v>0</v>
      </c>
      <c r="U502">
        <v>0</v>
      </c>
      <c r="V502">
        <v>6.67</v>
      </c>
    </row>
    <row r="503" spans="1:22">
      <c r="A503" s="1" t="s">
        <v>549</v>
      </c>
      <c r="B503" s="1" t="s">
        <v>59</v>
      </c>
      <c r="C503" s="2">
        <v>46278</v>
      </c>
      <c r="D503" s="3">
        <v>0.46875</v>
      </c>
      <c r="E503">
        <v>146</v>
      </c>
      <c r="F503">
        <v>148</v>
      </c>
      <c r="G503">
        <v>7</v>
      </c>
      <c r="H503" s="1" t="s">
        <v>60</v>
      </c>
      <c r="I503">
        <v>24.8</v>
      </c>
      <c r="J503">
        <v>28</v>
      </c>
      <c r="K503" s="1" t="s">
        <v>61</v>
      </c>
      <c r="L503" s="1" t="s">
        <v>38</v>
      </c>
      <c r="M503">
        <v>1</v>
      </c>
      <c r="N503">
        <v>0</v>
      </c>
      <c r="O503" s="1" t="s">
        <v>27</v>
      </c>
      <c r="P503">
        <v>1</v>
      </c>
      <c r="Q503">
        <v>1</v>
      </c>
      <c r="R503">
        <v>9</v>
      </c>
      <c r="S503">
        <v>11</v>
      </c>
      <c r="T503">
        <v>0</v>
      </c>
      <c r="U503">
        <v>0</v>
      </c>
      <c r="V503">
        <v>5.89</v>
      </c>
    </row>
    <row r="504" spans="1:22">
      <c r="A504" s="1" t="s">
        <v>550</v>
      </c>
      <c r="B504" s="1" t="s">
        <v>29</v>
      </c>
      <c r="C504" s="2">
        <v>46282</v>
      </c>
      <c r="D504" s="3">
        <v>0.80208333333333337</v>
      </c>
      <c r="E504">
        <v>110</v>
      </c>
      <c r="F504">
        <v>111</v>
      </c>
      <c r="G504">
        <v>6</v>
      </c>
      <c r="H504" s="1" t="s">
        <v>30</v>
      </c>
      <c r="I504">
        <v>32</v>
      </c>
      <c r="J504">
        <v>14</v>
      </c>
      <c r="K504" s="1" t="s">
        <v>31</v>
      </c>
      <c r="L504" s="1" t="s">
        <v>56</v>
      </c>
      <c r="M504">
        <v>0</v>
      </c>
      <c r="N504">
        <v>0</v>
      </c>
      <c r="O504" s="1" t="s">
        <v>27</v>
      </c>
      <c r="P504">
        <v>1</v>
      </c>
      <c r="Q504">
        <v>1</v>
      </c>
      <c r="R504">
        <v>0</v>
      </c>
      <c r="S504">
        <v>19</v>
      </c>
      <c r="T504">
        <v>1</v>
      </c>
      <c r="U504">
        <v>0</v>
      </c>
      <c r="V504">
        <v>3.44</v>
      </c>
    </row>
    <row r="505" spans="1:22">
      <c r="A505" s="1" t="s">
        <v>551</v>
      </c>
      <c r="B505" s="1" t="s">
        <v>29</v>
      </c>
      <c r="C505" s="2">
        <v>46291</v>
      </c>
      <c r="D505" s="3">
        <v>0.65625</v>
      </c>
      <c r="E505">
        <v>118</v>
      </c>
      <c r="F505">
        <v>112</v>
      </c>
      <c r="G505">
        <v>4</v>
      </c>
      <c r="H505" s="1" t="s">
        <v>30</v>
      </c>
      <c r="I505">
        <v>32</v>
      </c>
      <c r="J505">
        <v>14</v>
      </c>
      <c r="K505" s="1" t="s">
        <v>31</v>
      </c>
      <c r="L505" s="1" t="s">
        <v>32</v>
      </c>
      <c r="M505">
        <v>1</v>
      </c>
      <c r="N505">
        <v>0</v>
      </c>
      <c r="O505" s="1" t="s">
        <v>27</v>
      </c>
      <c r="P505">
        <v>1</v>
      </c>
      <c r="Q505">
        <v>1</v>
      </c>
      <c r="R505">
        <v>5</v>
      </c>
      <c r="S505">
        <v>15</v>
      </c>
      <c r="T505">
        <v>0</v>
      </c>
      <c r="U505">
        <v>0</v>
      </c>
      <c r="V505">
        <v>3.69</v>
      </c>
    </row>
    <row r="506" spans="1:22">
      <c r="A506" s="1" t="s">
        <v>552</v>
      </c>
      <c r="B506" s="1" t="s">
        <v>34</v>
      </c>
      <c r="C506" s="2">
        <v>46286</v>
      </c>
      <c r="D506" s="3">
        <v>0.82291666666666663</v>
      </c>
      <c r="E506">
        <v>58</v>
      </c>
      <c r="F506">
        <v>68</v>
      </c>
      <c r="G506">
        <v>4</v>
      </c>
      <c r="H506" s="1" t="s">
        <v>35</v>
      </c>
      <c r="I506">
        <v>12.2</v>
      </c>
      <c r="J506">
        <v>18</v>
      </c>
      <c r="K506" s="1" t="s">
        <v>36</v>
      </c>
      <c r="L506" s="1" t="s">
        <v>65</v>
      </c>
      <c r="M506">
        <v>0</v>
      </c>
      <c r="N506">
        <v>0</v>
      </c>
      <c r="O506" s="1" t="s">
        <v>27</v>
      </c>
      <c r="P506">
        <v>1</v>
      </c>
      <c r="Q506">
        <v>1</v>
      </c>
      <c r="R506">
        <v>6</v>
      </c>
      <c r="S506">
        <v>19</v>
      </c>
      <c r="T506">
        <v>1</v>
      </c>
      <c r="U506">
        <v>0</v>
      </c>
      <c r="V506">
        <v>4.75</v>
      </c>
    </row>
    <row r="507" spans="1:22">
      <c r="A507" s="1" t="s">
        <v>553</v>
      </c>
      <c r="B507" s="1" t="s">
        <v>45</v>
      </c>
      <c r="C507" s="2">
        <v>46293</v>
      </c>
      <c r="D507" s="3">
        <v>0.45833333333333331</v>
      </c>
      <c r="E507">
        <v>173</v>
      </c>
      <c r="F507">
        <v>173</v>
      </c>
      <c r="G507">
        <v>7</v>
      </c>
      <c r="H507" s="1" t="s">
        <v>46</v>
      </c>
      <c r="I507">
        <v>18.5</v>
      </c>
      <c r="J507">
        <v>22</v>
      </c>
      <c r="K507" s="1" t="s">
        <v>47</v>
      </c>
      <c r="L507" s="1" t="s">
        <v>65</v>
      </c>
      <c r="M507">
        <v>0</v>
      </c>
      <c r="N507">
        <v>0</v>
      </c>
      <c r="O507" s="1" t="s">
        <v>27</v>
      </c>
      <c r="P507">
        <v>1</v>
      </c>
      <c r="Q507">
        <v>1</v>
      </c>
      <c r="R507">
        <v>7</v>
      </c>
      <c r="S507">
        <v>11</v>
      </c>
      <c r="T507">
        <v>0</v>
      </c>
      <c r="U507">
        <v>0</v>
      </c>
      <c r="V507">
        <v>9.35</v>
      </c>
    </row>
    <row r="508" spans="1:22">
      <c r="A508" s="1" t="s">
        <v>554</v>
      </c>
      <c r="B508" s="1" t="s">
        <v>34</v>
      </c>
      <c r="C508" s="2">
        <v>46295</v>
      </c>
      <c r="D508" s="3">
        <v>0.59375</v>
      </c>
      <c r="E508">
        <v>141</v>
      </c>
      <c r="F508">
        <v>137</v>
      </c>
      <c r="G508">
        <v>7</v>
      </c>
      <c r="H508" s="1" t="s">
        <v>35</v>
      </c>
      <c r="I508">
        <v>12.2</v>
      </c>
      <c r="J508">
        <v>18</v>
      </c>
      <c r="K508" s="1" t="s">
        <v>36</v>
      </c>
      <c r="L508" s="1" t="s">
        <v>69</v>
      </c>
      <c r="M508">
        <v>0</v>
      </c>
      <c r="N508">
        <v>0</v>
      </c>
      <c r="O508" s="1" t="s">
        <v>27</v>
      </c>
      <c r="P508">
        <v>1</v>
      </c>
      <c r="Q508">
        <v>1</v>
      </c>
      <c r="R508">
        <v>15</v>
      </c>
      <c r="S508">
        <v>14</v>
      </c>
      <c r="T508">
        <v>0</v>
      </c>
      <c r="U508">
        <v>0</v>
      </c>
      <c r="V508">
        <v>11.56</v>
      </c>
    </row>
    <row r="509" spans="1:22">
      <c r="A509" s="1" t="s">
        <v>555</v>
      </c>
      <c r="B509" s="1" t="s">
        <v>29</v>
      </c>
      <c r="C509" s="2">
        <v>46291</v>
      </c>
      <c r="D509" s="3">
        <v>0.69791666666666663</v>
      </c>
      <c r="E509">
        <v>151</v>
      </c>
      <c r="F509">
        <v>137</v>
      </c>
      <c r="G509">
        <v>7</v>
      </c>
      <c r="H509" s="1" t="s">
        <v>30</v>
      </c>
      <c r="I509">
        <v>32</v>
      </c>
      <c r="J509">
        <v>14</v>
      </c>
      <c r="K509" s="1" t="s">
        <v>31</v>
      </c>
      <c r="L509" s="1" t="s">
        <v>32</v>
      </c>
      <c r="M509">
        <v>1</v>
      </c>
      <c r="N509">
        <v>0</v>
      </c>
      <c r="O509" s="1" t="s">
        <v>27</v>
      </c>
      <c r="P509">
        <v>1</v>
      </c>
      <c r="Q509">
        <v>1</v>
      </c>
      <c r="R509">
        <v>2</v>
      </c>
      <c r="S509">
        <v>16</v>
      </c>
      <c r="T509">
        <v>0</v>
      </c>
      <c r="U509">
        <v>0</v>
      </c>
      <c r="V509">
        <v>4.72</v>
      </c>
    </row>
    <row r="510" spans="1:22">
      <c r="A510" s="1" t="s">
        <v>556</v>
      </c>
      <c r="B510" s="1" t="s">
        <v>29</v>
      </c>
      <c r="C510" s="2">
        <v>46279</v>
      </c>
      <c r="D510" s="3">
        <v>0.75</v>
      </c>
      <c r="E510">
        <v>83</v>
      </c>
      <c r="F510">
        <v>84</v>
      </c>
      <c r="G510">
        <v>5</v>
      </c>
      <c r="H510" s="1" t="s">
        <v>30</v>
      </c>
      <c r="I510">
        <v>32</v>
      </c>
      <c r="J510">
        <v>14</v>
      </c>
      <c r="K510" s="1" t="s">
        <v>31</v>
      </c>
      <c r="L510" s="1" t="s">
        <v>65</v>
      </c>
      <c r="M510">
        <v>0</v>
      </c>
      <c r="N510">
        <v>0</v>
      </c>
      <c r="O510" s="1" t="s">
        <v>27</v>
      </c>
      <c r="P510">
        <v>1</v>
      </c>
      <c r="Q510">
        <v>1</v>
      </c>
      <c r="R510">
        <v>4</v>
      </c>
      <c r="S510">
        <v>18</v>
      </c>
      <c r="T510">
        <v>1</v>
      </c>
      <c r="U510">
        <v>0</v>
      </c>
      <c r="V510">
        <v>2.59</v>
      </c>
    </row>
    <row r="511" spans="1:22">
      <c r="A511" s="1" t="s">
        <v>557</v>
      </c>
      <c r="B511" s="1" t="s">
        <v>29</v>
      </c>
      <c r="C511" s="2">
        <v>46267</v>
      </c>
      <c r="D511" s="3">
        <v>0.38541666666666669</v>
      </c>
      <c r="E511">
        <v>106</v>
      </c>
      <c r="F511">
        <v>109</v>
      </c>
      <c r="G511">
        <v>6</v>
      </c>
      <c r="H511" s="1" t="s">
        <v>30</v>
      </c>
      <c r="I511">
        <v>32</v>
      </c>
      <c r="J511">
        <v>14</v>
      </c>
      <c r="K511" s="1" t="s">
        <v>31</v>
      </c>
      <c r="L511" s="1" t="s">
        <v>69</v>
      </c>
      <c r="M511">
        <v>0</v>
      </c>
      <c r="N511">
        <v>0</v>
      </c>
      <c r="O511" s="1" t="s">
        <v>27</v>
      </c>
      <c r="P511">
        <v>1</v>
      </c>
      <c r="Q511">
        <v>1</v>
      </c>
      <c r="R511">
        <v>1</v>
      </c>
      <c r="S511">
        <v>9</v>
      </c>
      <c r="T511">
        <v>1</v>
      </c>
      <c r="U511">
        <v>0</v>
      </c>
      <c r="V511">
        <v>3.31</v>
      </c>
    </row>
    <row r="512" spans="1:22">
      <c r="A512" s="1" t="s">
        <v>558</v>
      </c>
      <c r="B512" s="1" t="s">
        <v>34</v>
      </c>
      <c r="C512" s="2">
        <v>46293</v>
      </c>
      <c r="D512" s="3">
        <v>0.91666666666666663</v>
      </c>
      <c r="E512">
        <v>166</v>
      </c>
      <c r="F512">
        <v>154</v>
      </c>
      <c r="G512">
        <v>6</v>
      </c>
      <c r="H512" s="1" t="s">
        <v>35</v>
      </c>
      <c r="I512">
        <v>12.2</v>
      </c>
      <c r="J512">
        <v>18</v>
      </c>
      <c r="K512" s="1" t="s">
        <v>36</v>
      </c>
      <c r="L512" s="1" t="s">
        <v>65</v>
      </c>
      <c r="M512">
        <v>0</v>
      </c>
      <c r="N512">
        <v>0</v>
      </c>
      <c r="O512" s="1" t="s">
        <v>27</v>
      </c>
      <c r="P512">
        <v>1</v>
      </c>
      <c r="Q512">
        <v>1</v>
      </c>
      <c r="R512">
        <v>4</v>
      </c>
      <c r="S512">
        <v>22</v>
      </c>
      <c r="T512">
        <v>0</v>
      </c>
      <c r="U512">
        <v>0</v>
      </c>
      <c r="V512">
        <v>13.61</v>
      </c>
    </row>
    <row r="513" spans="1:22">
      <c r="A513" s="1" t="s">
        <v>559</v>
      </c>
      <c r="B513" s="1" t="s">
        <v>23</v>
      </c>
      <c r="C513" s="2">
        <v>46287</v>
      </c>
      <c r="D513" s="3">
        <v>0.3125</v>
      </c>
      <c r="E513">
        <v>93</v>
      </c>
      <c r="F513">
        <v>94</v>
      </c>
      <c r="G513">
        <v>3</v>
      </c>
      <c r="H513" s="1" t="s">
        <v>24</v>
      </c>
      <c r="I513">
        <v>15</v>
      </c>
      <c r="J513">
        <v>16</v>
      </c>
      <c r="K513" s="1" t="s">
        <v>25</v>
      </c>
      <c r="L513" s="1" t="s">
        <v>26</v>
      </c>
      <c r="M513">
        <v>0</v>
      </c>
      <c r="N513">
        <v>0</v>
      </c>
      <c r="O513" s="1" t="s">
        <v>27</v>
      </c>
      <c r="P513">
        <v>1</v>
      </c>
      <c r="Q513">
        <v>1</v>
      </c>
      <c r="R513">
        <v>3</v>
      </c>
      <c r="S513">
        <v>7</v>
      </c>
      <c r="T513">
        <v>0</v>
      </c>
      <c r="U513">
        <v>0</v>
      </c>
      <c r="V513">
        <v>6.2</v>
      </c>
    </row>
    <row r="514" spans="1:22">
      <c r="A514" s="1" t="s">
        <v>560</v>
      </c>
      <c r="B514" s="1" t="s">
        <v>29</v>
      </c>
      <c r="C514" s="2">
        <v>46276</v>
      </c>
      <c r="D514" s="3">
        <v>0.40625</v>
      </c>
      <c r="E514">
        <v>102</v>
      </c>
      <c r="F514">
        <v>106</v>
      </c>
      <c r="G514">
        <v>5</v>
      </c>
      <c r="H514" s="1" t="s">
        <v>30</v>
      </c>
      <c r="I514">
        <v>32</v>
      </c>
      <c r="J514">
        <v>14</v>
      </c>
      <c r="K514" s="1" t="s">
        <v>31</v>
      </c>
      <c r="L514" s="1" t="s">
        <v>49</v>
      </c>
      <c r="M514">
        <v>0</v>
      </c>
      <c r="N514">
        <v>0</v>
      </c>
      <c r="O514" s="1" t="s">
        <v>27</v>
      </c>
      <c r="P514">
        <v>1</v>
      </c>
      <c r="Q514">
        <v>1</v>
      </c>
      <c r="R514">
        <v>4</v>
      </c>
      <c r="S514">
        <v>9</v>
      </c>
      <c r="T514">
        <v>1</v>
      </c>
      <c r="U514">
        <v>0</v>
      </c>
      <c r="V514">
        <v>3.19</v>
      </c>
    </row>
    <row r="515" spans="1:22">
      <c r="A515" s="1" t="s">
        <v>561</v>
      </c>
      <c r="B515" s="1" t="s">
        <v>59</v>
      </c>
      <c r="C515" s="2">
        <v>46266</v>
      </c>
      <c r="D515" s="3">
        <v>0.89583333333333337</v>
      </c>
      <c r="E515">
        <v>81</v>
      </c>
      <c r="F515">
        <v>83</v>
      </c>
      <c r="G515">
        <v>3</v>
      </c>
      <c r="H515" s="1" t="s">
        <v>60</v>
      </c>
      <c r="I515">
        <v>24.8</v>
      </c>
      <c r="J515">
        <v>28</v>
      </c>
      <c r="K515" s="1" t="s">
        <v>61</v>
      </c>
      <c r="L515" s="1" t="s">
        <v>26</v>
      </c>
      <c r="M515">
        <v>0</v>
      </c>
      <c r="N515">
        <v>0</v>
      </c>
      <c r="O515" s="1" t="s">
        <v>27</v>
      </c>
      <c r="P515">
        <v>1</v>
      </c>
      <c r="Q515">
        <v>1</v>
      </c>
      <c r="R515">
        <v>18</v>
      </c>
      <c r="S515">
        <v>21</v>
      </c>
      <c r="T515">
        <v>0</v>
      </c>
      <c r="U515">
        <v>0</v>
      </c>
      <c r="V515">
        <v>3.27</v>
      </c>
    </row>
    <row r="516" spans="1:22">
      <c r="A516" s="1" t="s">
        <v>562</v>
      </c>
      <c r="B516" s="1" t="s">
        <v>34</v>
      </c>
      <c r="C516" s="2">
        <v>46284</v>
      </c>
      <c r="D516" s="3">
        <v>0.66666666666666663</v>
      </c>
      <c r="E516">
        <v>45</v>
      </c>
      <c r="F516">
        <v>43</v>
      </c>
      <c r="G516">
        <v>3</v>
      </c>
      <c r="H516" s="1" t="s">
        <v>35</v>
      </c>
      <c r="I516">
        <v>12.2</v>
      </c>
      <c r="J516">
        <v>18</v>
      </c>
      <c r="K516" s="1" t="s">
        <v>36</v>
      </c>
      <c r="L516" s="1" t="s">
        <v>32</v>
      </c>
      <c r="M516">
        <v>1</v>
      </c>
      <c r="N516">
        <v>1</v>
      </c>
      <c r="O516" s="1" t="s">
        <v>27</v>
      </c>
      <c r="P516">
        <v>1</v>
      </c>
      <c r="Q516">
        <v>1</v>
      </c>
      <c r="R516">
        <v>2</v>
      </c>
      <c r="S516">
        <v>16</v>
      </c>
      <c r="T516">
        <v>0</v>
      </c>
      <c r="U516">
        <v>0</v>
      </c>
      <c r="V516">
        <v>3.69</v>
      </c>
    </row>
    <row r="517" spans="1:22">
      <c r="A517" s="1" t="s">
        <v>563</v>
      </c>
      <c r="B517" s="1" t="s">
        <v>29</v>
      </c>
      <c r="C517" s="2">
        <v>46286</v>
      </c>
      <c r="D517" s="3">
        <v>0.54166666666666663</v>
      </c>
      <c r="E517">
        <v>183</v>
      </c>
      <c r="F517">
        <v>170</v>
      </c>
      <c r="G517">
        <v>5</v>
      </c>
      <c r="H517" s="1" t="s">
        <v>30</v>
      </c>
      <c r="I517">
        <v>32</v>
      </c>
      <c r="J517">
        <v>14</v>
      </c>
      <c r="K517" s="1" t="s">
        <v>31</v>
      </c>
      <c r="L517" s="1" t="s">
        <v>65</v>
      </c>
      <c r="M517">
        <v>0</v>
      </c>
      <c r="N517">
        <v>0</v>
      </c>
      <c r="O517" s="1" t="s">
        <v>27</v>
      </c>
      <c r="P517">
        <v>1</v>
      </c>
      <c r="Q517">
        <v>1</v>
      </c>
      <c r="R517">
        <v>4</v>
      </c>
      <c r="S517">
        <v>13</v>
      </c>
      <c r="T517">
        <v>0</v>
      </c>
      <c r="U517">
        <v>0</v>
      </c>
      <c r="V517">
        <v>5.72</v>
      </c>
    </row>
    <row r="518" spans="1:22">
      <c r="A518" s="1" t="s">
        <v>564</v>
      </c>
      <c r="B518" s="1" t="s">
        <v>59</v>
      </c>
      <c r="C518" s="2">
        <v>46269</v>
      </c>
      <c r="D518" s="3">
        <v>0.91666666666666663</v>
      </c>
      <c r="E518">
        <v>73</v>
      </c>
      <c r="F518">
        <v>67</v>
      </c>
      <c r="G518">
        <v>6</v>
      </c>
      <c r="H518" s="1" t="s">
        <v>60</v>
      </c>
      <c r="I518">
        <v>24.8</v>
      </c>
      <c r="J518">
        <v>28</v>
      </c>
      <c r="K518" s="1" t="s">
        <v>61</v>
      </c>
      <c r="L518" s="1" t="s">
        <v>49</v>
      </c>
      <c r="M518">
        <v>0</v>
      </c>
      <c r="N518">
        <v>0</v>
      </c>
      <c r="O518" s="1" t="s">
        <v>27</v>
      </c>
      <c r="P518">
        <v>1</v>
      </c>
      <c r="Q518">
        <v>1</v>
      </c>
      <c r="R518">
        <v>7</v>
      </c>
      <c r="S518">
        <v>22</v>
      </c>
      <c r="T518">
        <v>0</v>
      </c>
      <c r="U518">
        <v>0</v>
      </c>
      <c r="V518">
        <v>2.94</v>
      </c>
    </row>
    <row r="519" spans="1:22">
      <c r="A519" s="1" t="s">
        <v>565</v>
      </c>
      <c r="B519" s="1" t="s">
        <v>23</v>
      </c>
      <c r="C519" s="2">
        <v>46284</v>
      </c>
      <c r="D519" s="3">
        <v>0.35416666666666669</v>
      </c>
      <c r="E519">
        <v>75</v>
      </c>
      <c r="F519">
        <v>80</v>
      </c>
      <c r="G519">
        <v>4</v>
      </c>
      <c r="H519" s="1" t="s">
        <v>24</v>
      </c>
      <c r="I519">
        <v>15</v>
      </c>
      <c r="J519">
        <v>16</v>
      </c>
      <c r="K519" s="1" t="s">
        <v>25</v>
      </c>
      <c r="L519" s="1" t="s">
        <v>32</v>
      </c>
      <c r="M519">
        <v>1</v>
      </c>
      <c r="N519">
        <v>1</v>
      </c>
      <c r="O519" s="1" t="s">
        <v>27</v>
      </c>
      <c r="P519">
        <v>1</v>
      </c>
      <c r="Q519">
        <v>1</v>
      </c>
      <c r="R519">
        <v>3</v>
      </c>
      <c r="S519">
        <v>8</v>
      </c>
      <c r="T519">
        <v>1</v>
      </c>
      <c r="U519">
        <v>0</v>
      </c>
      <c r="V519">
        <v>5</v>
      </c>
    </row>
    <row r="520" spans="1:22">
      <c r="A520" s="1" t="s">
        <v>566</v>
      </c>
      <c r="B520" s="1" t="s">
        <v>29</v>
      </c>
      <c r="C520" s="2">
        <v>46291</v>
      </c>
      <c r="D520" s="3">
        <v>0.58333333333333337</v>
      </c>
      <c r="E520">
        <v>97</v>
      </c>
      <c r="F520">
        <v>104</v>
      </c>
      <c r="G520">
        <v>6</v>
      </c>
      <c r="H520" s="1" t="s">
        <v>30</v>
      </c>
      <c r="I520">
        <v>32</v>
      </c>
      <c r="J520">
        <v>14</v>
      </c>
      <c r="K520" s="1" t="s">
        <v>31</v>
      </c>
      <c r="L520" s="1" t="s">
        <v>32</v>
      </c>
      <c r="M520">
        <v>1</v>
      </c>
      <c r="N520">
        <v>0</v>
      </c>
      <c r="O520" s="1" t="s">
        <v>27</v>
      </c>
      <c r="P520">
        <v>1</v>
      </c>
      <c r="Q520">
        <v>1</v>
      </c>
      <c r="R520">
        <v>6</v>
      </c>
      <c r="S520">
        <v>14</v>
      </c>
      <c r="T520">
        <v>0</v>
      </c>
      <c r="U520">
        <v>0</v>
      </c>
      <c r="V520">
        <v>3.03</v>
      </c>
    </row>
    <row r="521" spans="1:22">
      <c r="A521" s="1" t="s">
        <v>567</v>
      </c>
      <c r="B521" s="1" t="s">
        <v>23</v>
      </c>
      <c r="C521" s="2">
        <v>46294</v>
      </c>
      <c r="D521" s="3">
        <v>0.46875</v>
      </c>
      <c r="E521">
        <v>148</v>
      </c>
      <c r="F521">
        <v>146</v>
      </c>
      <c r="G521">
        <v>4</v>
      </c>
      <c r="H521" s="1" t="s">
        <v>24</v>
      </c>
      <c r="I521">
        <v>15</v>
      </c>
      <c r="J521">
        <v>16</v>
      </c>
      <c r="K521" s="1" t="s">
        <v>25</v>
      </c>
      <c r="L521" s="1" t="s">
        <v>26</v>
      </c>
      <c r="M521">
        <v>0</v>
      </c>
      <c r="N521">
        <v>0</v>
      </c>
      <c r="O521" s="1" t="s">
        <v>27</v>
      </c>
      <c r="P521">
        <v>1</v>
      </c>
      <c r="Q521">
        <v>1</v>
      </c>
      <c r="R521">
        <v>1</v>
      </c>
      <c r="S521">
        <v>11</v>
      </c>
      <c r="T521">
        <v>0</v>
      </c>
      <c r="U521">
        <v>0</v>
      </c>
      <c r="V521">
        <v>9.8699999999999992</v>
      </c>
    </row>
    <row r="522" spans="1:22">
      <c r="A522" s="1" t="s">
        <v>568</v>
      </c>
      <c r="B522" s="1" t="s">
        <v>29</v>
      </c>
      <c r="C522" s="2">
        <v>46286</v>
      </c>
      <c r="D522" s="3">
        <v>0.20833333333333334</v>
      </c>
      <c r="E522">
        <v>90</v>
      </c>
      <c r="F522">
        <v>102</v>
      </c>
      <c r="G522">
        <v>4</v>
      </c>
      <c r="H522" s="1" t="s">
        <v>30</v>
      </c>
      <c r="I522">
        <v>32</v>
      </c>
      <c r="J522">
        <v>14</v>
      </c>
      <c r="K522" s="1" t="s">
        <v>31</v>
      </c>
      <c r="L522" s="1" t="s">
        <v>65</v>
      </c>
      <c r="M522">
        <v>0</v>
      </c>
      <c r="N522">
        <v>0</v>
      </c>
      <c r="O522" s="1" t="s">
        <v>27</v>
      </c>
      <c r="P522">
        <v>1</v>
      </c>
      <c r="Q522">
        <v>1</v>
      </c>
      <c r="R522">
        <v>4</v>
      </c>
      <c r="S522">
        <v>5</v>
      </c>
      <c r="T522">
        <v>0</v>
      </c>
      <c r="U522">
        <v>0</v>
      </c>
      <c r="V522">
        <v>2.81</v>
      </c>
    </row>
    <row r="523" spans="1:22">
      <c r="A523" s="1" t="s">
        <v>569</v>
      </c>
      <c r="B523" s="1" t="s">
        <v>34</v>
      </c>
      <c r="C523" s="2">
        <v>46276</v>
      </c>
      <c r="D523" s="3">
        <v>0.28125</v>
      </c>
      <c r="E523">
        <v>91</v>
      </c>
      <c r="F523">
        <v>83</v>
      </c>
      <c r="G523">
        <v>3</v>
      </c>
      <c r="H523" s="1" t="s">
        <v>35</v>
      </c>
      <c r="I523">
        <v>12.2</v>
      </c>
      <c r="J523">
        <v>18</v>
      </c>
      <c r="K523" s="1" t="s">
        <v>36</v>
      </c>
      <c r="L523" s="1" t="s">
        <v>49</v>
      </c>
      <c r="M523">
        <v>0</v>
      </c>
      <c r="N523">
        <v>0</v>
      </c>
      <c r="O523" s="1" t="s">
        <v>27</v>
      </c>
      <c r="P523">
        <v>1</v>
      </c>
      <c r="Q523">
        <v>1</v>
      </c>
      <c r="R523">
        <v>6</v>
      </c>
      <c r="S523">
        <v>6</v>
      </c>
      <c r="T523">
        <v>0</v>
      </c>
      <c r="U523">
        <v>0</v>
      </c>
      <c r="V523">
        <v>7.46</v>
      </c>
    </row>
    <row r="524" spans="1:22">
      <c r="A524" s="1" t="s">
        <v>570</v>
      </c>
      <c r="B524" s="1" t="s">
        <v>45</v>
      </c>
      <c r="C524" s="2">
        <v>46273</v>
      </c>
      <c r="D524" s="3">
        <v>0.625</v>
      </c>
      <c r="E524">
        <v>24</v>
      </c>
      <c r="F524">
        <v>27</v>
      </c>
      <c r="G524">
        <v>3</v>
      </c>
      <c r="H524" s="1" t="s">
        <v>46</v>
      </c>
      <c r="I524">
        <v>18.5</v>
      </c>
      <c r="J524">
        <v>22</v>
      </c>
      <c r="K524" s="1" t="s">
        <v>47</v>
      </c>
      <c r="L524" s="1" t="s">
        <v>26</v>
      </c>
      <c r="M524">
        <v>0</v>
      </c>
      <c r="N524">
        <v>0</v>
      </c>
      <c r="O524" s="1" t="s">
        <v>27</v>
      </c>
      <c r="P524">
        <v>1</v>
      </c>
      <c r="Q524">
        <v>1</v>
      </c>
      <c r="R524">
        <v>4</v>
      </c>
      <c r="S524">
        <v>15</v>
      </c>
      <c r="T524">
        <v>0</v>
      </c>
      <c r="U524">
        <v>0</v>
      </c>
      <c r="V524">
        <v>1.3</v>
      </c>
    </row>
    <row r="525" spans="1:22">
      <c r="A525" s="1" t="s">
        <v>571</v>
      </c>
      <c r="B525" s="1" t="s">
        <v>29</v>
      </c>
      <c r="C525" s="2">
        <v>46276</v>
      </c>
      <c r="D525" s="3">
        <v>0.46875</v>
      </c>
      <c r="E525">
        <v>79</v>
      </c>
      <c r="F525">
        <v>86</v>
      </c>
      <c r="G525">
        <v>5</v>
      </c>
      <c r="H525" s="1" t="s">
        <v>30</v>
      </c>
      <c r="I525">
        <v>32</v>
      </c>
      <c r="J525">
        <v>14</v>
      </c>
      <c r="K525" s="1" t="s">
        <v>31</v>
      </c>
      <c r="L525" s="1" t="s">
        <v>49</v>
      </c>
      <c r="M525">
        <v>0</v>
      </c>
      <c r="N525">
        <v>0</v>
      </c>
      <c r="O525" s="1" t="s">
        <v>27</v>
      </c>
      <c r="P525">
        <v>1</v>
      </c>
      <c r="Q525">
        <v>1</v>
      </c>
      <c r="R525">
        <v>1</v>
      </c>
      <c r="S525">
        <v>11</v>
      </c>
      <c r="T525">
        <v>0</v>
      </c>
      <c r="U525">
        <v>0</v>
      </c>
      <c r="V525">
        <v>2.4700000000000002</v>
      </c>
    </row>
    <row r="526" spans="1:22">
      <c r="A526" s="1" t="s">
        <v>572</v>
      </c>
      <c r="B526" s="1" t="s">
        <v>45</v>
      </c>
      <c r="C526" s="2">
        <v>46269</v>
      </c>
      <c r="D526" s="3">
        <v>0.875</v>
      </c>
      <c r="E526">
        <v>90</v>
      </c>
      <c r="F526">
        <v>84</v>
      </c>
      <c r="G526">
        <v>5</v>
      </c>
      <c r="H526" s="1" t="s">
        <v>46</v>
      </c>
      <c r="I526">
        <v>18.5</v>
      </c>
      <c r="J526">
        <v>22</v>
      </c>
      <c r="K526" s="1" t="s">
        <v>47</v>
      </c>
      <c r="L526" s="1" t="s">
        <v>49</v>
      </c>
      <c r="M526">
        <v>0</v>
      </c>
      <c r="N526">
        <v>0</v>
      </c>
      <c r="O526" s="1" t="s">
        <v>27</v>
      </c>
      <c r="P526">
        <v>1</v>
      </c>
      <c r="Q526">
        <v>1</v>
      </c>
      <c r="R526">
        <v>4</v>
      </c>
      <c r="S526">
        <v>21</v>
      </c>
      <c r="T526">
        <v>0</v>
      </c>
      <c r="U526">
        <v>0</v>
      </c>
      <c r="V526">
        <v>4.8600000000000003</v>
      </c>
    </row>
    <row r="527" spans="1:22">
      <c r="A527" s="1" t="s">
        <v>573</v>
      </c>
      <c r="B527" s="1" t="s">
        <v>59</v>
      </c>
      <c r="C527" s="2">
        <v>46282</v>
      </c>
      <c r="D527" s="3">
        <v>0.26041666666666669</v>
      </c>
      <c r="E527">
        <v>108</v>
      </c>
      <c r="F527">
        <v>110</v>
      </c>
      <c r="G527">
        <v>4</v>
      </c>
      <c r="H527" s="1" t="s">
        <v>60</v>
      </c>
      <c r="I527">
        <v>24.8</v>
      </c>
      <c r="J527">
        <v>28</v>
      </c>
      <c r="K527" s="1" t="s">
        <v>61</v>
      </c>
      <c r="L527" s="1" t="s">
        <v>56</v>
      </c>
      <c r="M527">
        <v>0</v>
      </c>
      <c r="N527">
        <v>0</v>
      </c>
      <c r="O527" s="1" t="s">
        <v>27</v>
      </c>
      <c r="P527">
        <v>1</v>
      </c>
      <c r="Q527">
        <v>1</v>
      </c>
      <c r="R527">
        <v>0</v>
      </c>
      <c r="S527">
        <v>6</v>
      </c>
      <c r="T527">
        <v>0</v>
      </c>
      <c r="U527">
        <v>0</v>
      </c>
      <c r="V527">
        <v>4.3499999999999996</v>
      </c>
    </row>
    <row r="528" spans="1:22">
      <c r="A528" s="1" t="s">
        <v>574</v>
      </c>
      <c r="B528" s="1" t="s">
        <v>29</v>
      </c>
      <c r="C528" s="2">
        <v>46292</v>
      </c>
      <c r="D528" s="3">
        <v>0.76041666666666663</v>
      </c>
      <c r="E528">
        <v>48</v>
      </c>
      <c r="F528">
        <v>52</v>
      </c>
      <c r="G528">
        <v>3</v>
      </c>
      <c r="H528" s="1" t="s">
        <v>30</v>
      </c>
      <c r="I528">
        <v>32</v>
      </c>
      <c r="J528">
        <v>14</v>
      </c>
      <c r="K528" s="1" t="s">
        <v>31</v>
      </c>
      <c r="L528" s="1" t="s">
        <v>38</v>
      </c>
      <c r="M528">
        <v>1</v>
      </c>
      <c r="N528">
        <v>0</v>
      </c>
      <c r="O528" s="1" t="s">
        <v>134</v>
      </c>
      <c r="P528">
        <v>1</v>
      </c>
      <c r="Q528">
        <v>1</v>
      </c>
      <c r="R528">
        <v>5</v>
      </c>
      <c r="S528">
        <v>18</v>
      </c>
      <c r="T528">
        <v>1</v>
      </c>
      <c r="U528">
        <v>1</v>
      </c>
      <c r="V528">
        <v>1.5</v>
      </c>
    </row>
    <row r="529" spans="1:22">
      <c r="A529" s="1" t="s">
        <v>575</v>
      </c>
      <c r="B529" s="1" t="s">
        <v>45</v>
      </c>
      <c r="C529" s="2">
        <v>46272</v>
      </c>
      <c r="D529" s="3">
        <v>0.25</v>
      </c>
      <c r="E529">
        <v>153</v>
      </c>
      <c r="F529">
        <v>152</v>
      </c>
      <c r="G529">
        <v>6</v>
      </c>
      <c r="H529" s="1" t="s">
        <v>46</v>
      </c>
      <c r="I529">
        <v>18.5</v>
      </c>
      <c r="J529">
        <v>22</v>
      </c>
      <c r="K529" s="1" t="s">
        <v>47</v>
      </c>
      <c r="L529" s="1" t="s">
        <v>65</v>
      </c>
      <c r="M529">
        <v>0</v>
      </c>
      <c r="N529">
        <v>0</v>
      </c>
      <c r="O529" s="1" t="s">
        <v>27</v>
      </c>
      <c r="P529">
        <v>1</v>
      </c>
      <c r="Q529">
        <v>1</v>
      </c>
      <c r="R529">
        <v>7</v>
      </c>
      <c r="S529">
        <v>6</v>
      </c>
      <c r="T529">
        <v>0</v>
      </c>
      <c r="U529">
        <v>0</v>
      </c>
      <c r="V529">
        <v>8.27</v>
      </c>
    </row>
    <row r="530" spans="1:22">
      <c r="A530" s="1" t="s">
        <v>576</v>
      </c>
      <c r="B530" s="1" t="s">
        <v>23</v>
      </c>
      <c r="C530" s="2">
        <v>46273</v>
      </c>
      <c r="D530" s="3">
        <v>0.58333333333333337</v>
      </c>
      <c r="E530">
        <v>156</v>
      </c>
      <c r="F530">
        <v>155</v>
      </c>
      <c r="G530">
        <v>5</v>
      </c>
      <c r="H530" s="1" t="s">
        <v>24</v>
      </c>
      <c r="I530">
        <v>15</v>
      </c>
      <c r="J530">
        <v>16</v>
      </c>
      <c r="K530" s="1" t="s">
        <v>25</v>
      </c>
      <c r="L530" s="1" t="s">
        <v>26</v>
      </c>
      <c r="M530">
        <v>0</v>
      </c>
      <c r="N530">
        <v>0</v>
      </c>
      <c r="O530" s="1" t="s">
        <v>27</v>
      </c>
      <c r="P530">
        <v>1</v>
      </c>
      <c r="Q530">
        <v>1</v>
      </c>
      <c r="R530">
        <v>7</v>
      </c>
      <c r="S530">
        <v>14</v>
      </c>
      <c r="T530">
        <v>0</v>
      </c>
      <c r="U530">
        <v>0</v>
      </c>
      <c r="V530">
        <v>10.4</v>
      </c>
    </row>
    <row r="531" spans="1:22">
      <c r="A531" s="1" t="s">
        <v>577</v>
      </c>
      <c r="B531" s="1" t="s">
        <v>29</v>
      </c>
      <c r="C531" s="2">
        <v>46268</v>
      </c>
      <c r="D531" s="3">
        <v>0.38541666666666669</v>
      </c>
      <c r="E531">
        <v>92</v>
      </c>
      <c r="F531">
        <v>78</v>
      </c>
      <c r="G531">
        <v>3</v>
      </c>
      <c r="H531" s="1" t="s">
        <v>30</v>
      </c>
      <c r="I531">
        <v>32</v>
      </c>
      <c r="J531">
        <v>14</v>
      </c>
      <c r="K531" s="1" t="s">
        <v>31</v>
      </c>
      <c r="L531" s="1" t="s">
        <v>56</v>
      </c>
      <c r="M531">
        <v>0</v>
      </c>
      <c r="N531">
        <v>0</v>
      </c>
      <c r="O531" s="1" t="s">
        <v>27</v>
      </c>
      <c r="P531">
        <v>1</v>
      </c>
      <c r="Q531">
        <v>1</v>
      </c>
      <c r="R531">
        <v>1</v>
      </c>
      <c r="S531">
        <v>9</v>
      </c>
      <c r="T531">
        <v>1</v>
      </c>
      <c r="U531">
        <v>0</v>
      </c>
      <c r="V531">
        <v>2.88</v>
      </c>
    </row>
    <row r="532" spans="1:22">
      <c r="A532" s="1" t="s">
        <v>578</v>
      </c>
      <c r="B532" s="1" t="s">
        <v>29</v>
      </c>
      <c r="C532" s="2">
        <v>46287</v>
      </c>
      <c r="D532" s="3">
        <v>0.83333333333333337</v>
      </c>
      <c r="E532">
        <v>106</v>
      </c>
      <c r="F532">
        <v>102</v>
      </c>
      <c r="G532">
        <v>5</v>
      </c>
      <c r="H532" s="1" t="s">
        <v>30</v>
      </c>
      <c r="I532">
        <v>32</v>
      </c>
      <c r="J532">
        <v>14</v>
      </c>
      <c r="K532" s="1" t="s">
        <v>31</v>
      </c>
      <c r="L532" s="1" t="s">
        <v>26</v>
      </c>
      <c r="M532">
        <v>0</v>
      </c>
      <c r="N532">
        <v>0</v>
      </c>
      <c r="O532" s="1" t="s">
        <v>27</v>
      </c>
      <c r="P532">
        <v>1</v>
      </c>
      <c r="Q532">
        <v>1</v>
      </c>
      <c r="R532">
        <v>5</v>
      </c>
      <c r="S532">
        <v>20</v>
      </c>
      <c r="T532">
        <v>0</v>
      </c>
      <c r="U532">
        <v>0</v>
      </c>
      <c r="V532">
        <v>3.31</v>
      </c>
    </row>
    <row r="533" spans="1:22">
      <c r="A533" s="1" t="s">
        <v>579</v>
      </c>
      <c r="B533" s="1" t="s">
        <v>45</v>
      </c>
      <c r="C533" s="2">
        <v>46267</v>
      </c>
      <c r="D533" s="3">
        <v>0.26041666666666669</v>
      </c>
      <c r="E533">
        <v>115</v>
      </c>
      <c r="F533">
        <v>107</v>
      </c>
      <c r="G533">
        <v>5</v>
      </c>
      <c r="H533" s="1" t="s">
        <v>46</v>
      </c>
      <c r="I533">
        <v>18.5</v>
      </c>
      <c r="J533">
        <v>22</v>
      </c>
      <c r="K533" s="1" t="s">
        <v>47</v>
      </c>
      <c r="L533" s="1" t="s">
        <v>69</v>
      </c>
      <c r="M533">
        <v>0</v>
      </c>
      <c r="N533">
        <v>0</v>
      </c>
      <c r="O533" s="1" t="s">
        <v>27</v>
      </c>
      <c r="P533">
        <v>1</v>
      </c>
      <c r="Q533">
        <v>1</v>
      </c>
      <c r="R533">
        <v>4</v>
      </c>
      <c r="S533">
        <v>6</v>
      </c>
      <c r="T533">
        <v>0</v>
      </c>
      <c r="U533">
        <v>0</v>
      </c>
      <c r="V533">
        <v>6.22</v>
      </c>
    </row>
    <row r="534" spans="1:22">
      <c r="A534" s="1" t="s">
        <v>580</v>
      </c>
      <c r="B534" s="1" t="s">
        <v>23</v>
      </c>
      <c r="C534" s="2">
        <v>46288</v>
      </c>
      <c r="D534" s="3">
        <v>0.28125</v>
      </c>
      <c r="E534">
        <v>121</v>
      </c>
      <c r="F534">
        <v>117</v>
      </c>
      <c r="G534">
        <v>5</v>
      </c>
      <c r="H534" s="1" t="s">
        <v>24</v>
      </c>
      <c r="I534">
        <v>15</v>
      </c>
      <c r="J534">
        <v>16</v>
      </c>
      <c r="K534" s="1" t="s">
        <v>25</v>
      </c>
      <c r="L534" s="1" t="s">
        <v>69</v>
      </c>
      <c r="M534">
        <v>0</v>
      </c>
      <c r="N534">
        <v>0</v>
      </c>
      <c r="O534" s="1" t="s">
        <v>27</v>
      </c>
      <c r="P534">
        <v>1</v>
      </c>
      <c r="Q534">
        <v>1</v>
      </c>
      <c r="R534">
        <v>4</v>
      </c>
      <c r="S534">
        <v>6</v>
      </c>
      <c r="T534">
        <v>0</v>
      </c>
      <c r="U534">
        <v>0</v>
      </c>
      <c r="V534">
        <v>8.07</v>
      </c>
    </row>
    <row r="535" spans="1:22">
      <c r="A535" s="1" t="s">
        <v>581</v>
      </c>
      <c r="B535" s="1" t="s">
        <v>45</v>
      </c>
      <c r="C535" s="2">
        <v>46280</v>
      </c>
      <c r="D535" s="3">
        <v>0.85416666666666663</v>
      </c>
      <c r="E535">
        <v>157</v>
      </c>
      <c r="F535">
        <v>163</v>
      </c>
      <c r="G535">
        <v>7</v>
      </c>
      <c r="H535" s="1" t="s">
        <v>46</v>
      </c>
      <c r="I535">
        <v>18.5</v>
      </c>
      <c r="J535">
        <v>22</v>
      </c>
      <c r="K535" s="1" t="s">
        <v>47</v>
      </c>
      <c r="L535" s="1" t="s">
        <v>26</v>
      </c>
      <c r="M535">
        <v>0</v>
      </c>
      <c r="N535">
        <v>0</v>
      </c>
      <c r="O535" s="1" t="s">
        <v>27</v>
      </c>
      <c r="P535">
        <v>1</v>
      </c>
      <c r="Q535">
        <v>1</v>
      </c>
      <c r="R535">
        <v>16</v>
      </c>
      <c r="S535">
        <v>20</v>
      </c>
      <c r="T535">
        <v>0</v>
      </c>
      <c r="U535">
        <v>0</v>
      </c>
      <c r="V535">
        <v>8.49</v>
      </c>
    </row>
    <row r="536" spans="1:22">
      <c r="A536" s="1" t="s">
        <v>582</v>
      </c>
      <c r="B536" s="1" t="s">
        <v>34</v>
      </c>
      <c r="C536" s="2">
        <v>46289</v>
      </c>
      <c r="D536" s="3">
        <v>0.46875</v>
      </c>
      <c r="E536">
        <v>153</v>
      </c>
      <c r="F536">
        <v>157</v>
      </c>
      <c r="G536">
        <v>7</v>
      </c>
      <c r="H536" s="1" t="s">
        <v>35</v>
      </c>
      <c r="I536">
        <v>12.2</v>
      </c>
      <c r="J536">
        <v>18</v>
      </c>
      <c r="K536" s="1" t="s">
        <v>36</v>
      </c>
      <c r="L536" s="1" t="s">
        <v>56</v>
      </c>
      <c r="M536">
        <v>0</v>
      </c>
      <c r="N536">
        <v>0</v>
      </c>
      <c r="O536" s="1" t="s">
        <v>27</v>
      </c>
      <c r="P536">
        <v>1</v>
      </c>
      <c r="Q536">
        <v>1</v>
      </c>
      <c r="R536">
        <v>20</v>
      </c>
      <c r="S536">
        <v>11</v>
      </c>
      <c r="T536">
        <v>0</v>
      </c>
      <c r="U536">
        <v>0</v>
      </c>
      <c r="V536">
        <v>12.54</v>
      </c>
    </row>
    <row r="537" spans="1:22">
      <c r="A537" s="1" t="s">
        <v>583</v>
      </c>
      <c r="B537" s="1" t="s">
        <v>45</v>
      </c>
      <c r="C537" s="2">
        <v>46287</v>
      </c>
      <c r="D537" s="3">
        <v>0.69791666666666663</v>
      </c>
      <c r="E537">
        <v>177</v>
      </c>
      <c r="F537">
        <v>175</v>
      </c>
      <c r="G537">
        <v>5</v>
      </c>
      <c r="H537" s="1" t="s">
        <v>46</v>
      </c>
      <c r="I537">
        <v>18.5</v>
      </c>
      <c r="J537">
        <v>22</v>
      </c>
      <c r="K537" s="1" t="s">
        <v>47</v>
      </c>
      <c r="L537" s="1" t="s">
        <v>26</v>
      </c>
      <c r="M537">
        <v>0</v>
      </c>
      <c r="N537">
        <v>0</v>
      </c>
      <c r="O537" s="1" t="s">
        <v>27</v>
      </c>
      <c r="P537">
        <v>1</v>
      </c>
      <c r="Q537">
        <v>1</v>
      </c>
      <c r="R537">
        <v>0</v>
      </c>
      <c r="S537">
        <v>16</v>
      </c>
      <c r="T537">
        <v>0</v>
      </c>
      <c r="U537">
        <v>0</v>
      </c>
      <c r="V537">
        <v>9.57</v>
      </c>
    </row>
    <row r="538" spans="1:22">
      <c r="A538" s="1" t="s">
        <v>584</v>
      </c>
      <c r="B538" s="1" t="s">
        <v>34</v>
      </c>
      <c r="C538" s="2">
        <v>46287</v>
      </c>
      <c r="D538" s="3">
        <v>0.82291666666666663</v>
      </c>
      <c r="E538">
        <v>93</v>
      </c>
      <c r="F538">
        <v>99</v>
      </c>
      <c r="G538">
        <v>4</v>
      </c>
      <c r="H538" s="1" t="s">
        <v>35</v>
      </c>
      <c r="I538">
        <v>12.2</v>
      </c>
      <c r="J538">
        <v>18</v>
      </c>
      <c r="K538" s="1" t="s">
        <v>36</v>
      </c>
      <c r="L538" s="1" t="s">
        <v>26</v>
      </c>
      <c r="M538">
        <v>0</v>
      </c>
      <c r="N538">
        <v>0</v>
      </c>
      <c r="O538" s="1" t="s">
        <v>27</v>
      </c>
      <c r="P538">
        <v>1</v>
      </c>
      <c r="Q538">
        <v>1</v>
      </c>
      <c r="R538">
        <v>4</v>
      </c>
      <c r="S538">
        <v>19</v>
      </c>
      <c r="T538">
        <v>1</v>
      </c>
      <c r="U538">
        <v>0</v>
      </c>
      <c r="V538">
        <v>7.62</v>
      </c>
    </row>
    <row r="539" spans="1:22">
      <c r="A539" s="1" t="s">
        <v>585</v>
      </c>
      <c r="B539" s="1" t="s">
        <v>59</v>
      </c>
      <c r="C539" s="2">
        <v>46270</v>
      </c>
      <c r="D539" s="3">
        <v>0.44791666666666669</v>
      </c>
      <c r="E539">
        <v>151</v>
      </c>
      <c r="F539">
        <v>141</v>
      </c>
      <c r="G539">
        <v>4</v>
      </c>
      <c r="H539" s="1" t="s">
        <v>60</v>
      </c>
      <c r="I539">
        <v>24.8</v>
      </c>
      <c r="J539">
        <v>28</v>
      </c>
      <c r="K539" s="1" t="s">
        <v>61</v>
      </c>
      <c r="L539" s="1" t="s">
        <v>32</v>
      </c>
      <c r="M539">
        <v>1</v>
      </c>
      <c r="N539">
        <v>1</v>
      </c>
      <c r="O539" s="1" t="s">
        <v>27</v>
      </c>
      <c r="P539">
        <v>1</v>
      </c>
      <c r="Q539">
        <v>1</v>
      </c>
      <c r="R539">
        <v>4</v>
      </c>
      <c r="S539">
        <v>10</v>
      </c>
      <c r="T539">
        <v>1</v>
      </c>
      <c r="U539">
        <v>0</v>
      </c>
      <c r="V539">
        <v>6.09</v>
      </c>
    </row>
    <row r="540" spans="1:22">
      <c r="A540" s="1" t="s">
        <v>586</v>
      </c>
      <c r="B540" s="1" t="s">
        <v>23</v>
      </c>
      <c r="C540" s="2">
        <v>46289</v>
      </c>
      <c r="D540" s="3">
        <v>0.60416666666666663</v>
      </c>
      <c r="E540">
        <v>87</v>
      </c>
      <c r="F540">
        <v>84</v>
      </c>
      <c r="G540">
        <v>3</v>
      </c>
      <c r="H540" s="1" t="s">
        <v>24</v>
      </c>
      <c r="I540">
        <v>15</v>
      </c>
      <c r="J540">
        <v>16</v>
      </c>
      <c r="K540" s="1" t="s">
        <v>25</v>
      </c>
      <c r="L540" s="1" t="s">
        <v>56</v>
      </c>
      <c r="M540">
        <v>0</v>
      </c>
      <c r="N540">
        <v>0</v>
      </c>
      <c r="O540" s="1" t="s">
        <v>27</v>
      </c>
      <c r="P540">
        <v>1</v>
      </c>
      <c r="Q540">
        <v>1</v>
      </c>
      <c r="R540">
        <v>0</v>
      </c>
      <c r="S540">
        <v>14</v>
      </c>
      <c r="T540">
        <v>0</v>
      </c>
      <c r="U540">
        <v>0</v>
      </c>
      <c r="V540">
        <v>5.8</v>
      </c>
    </row>
    <row r="541" spans="1:22">
      <c r="A541" s="1" t="s">
        <v>587</v>
      </c>
      <c r="B541" s="1" t="s">
        <v>23</v>
      </c>
      <c r="C541" s="2">
        <v>46266</v>
      </c>
      <c r="D541" s="3">
        <v>0.90625</v>
      </c>
      <c r="E541">
        <v>213</v>
      </c>
      <c r="F541">
        <v>205</v>
      </c>
      <c r="G541">
        <v>6</v>
      </c>
      <c r="H541" s="1" t="s">
        <v>24</v>
      </c>
      <c r="I541">
        <v>15</v>
      </c>
      <c r="J541">
        <v>16</v>
      </c>
      <c r="K541" s="1" t="s">
        <v>25</v>
      </c>
      <c r="L541" s="1" t="s">
        <v>26</v>
      </c>
      <c r="M541">
        <v>0</v>
      </c>
      <c r="N541">
        <v>0</v>
      </c>
      <c r="O541" s="1" t="s">
        <v>27</v>
      </c>
      <c r="P541">
        <v>1</v>
      </c>
      <c r="Q541">
        <v>1</v>
      </c>
      <c r="R541">
        <v>2</v>
      </c>
      <c r="S541">
        <v>21</v>
      </c>
      <c r="T541">
        <v>0</v>
      </c>
      <c r="U541">
        <v>0</v>
      </c>
      <c r="V541">
        <v>14.2</v>
      </c>
    </row>
    <row r="542" spans="1:22">
      <c r="A542" s="1" t="s">
        <v>588</v>
      </c>
      <c r="B542" s="1" t="s">
        <v>45</v>
      </c>
      <c r="C542" s="2">
        <v>46291</v>
      </c>
      <c r="D542" s="3">
        <v>0.45833333333333331</v>
      </c>
      <c r="E542">
        <v>73</v>
      </c>
      <c r="F542">
        <v>68</v>
      </c>
      <c r="G542">
        <v>3</v>
      </c>
      <c r="H542" s="1" t="s">
        <v>46</v>
      </c>
      <c r="I542">
        <v>18.5</v>
      </c>
      <c r="J542">
        <v>22</v>
      </c>
      <c r="K542" s="1" t="s">
        <v>47</v>
      </c>
      <c r="L542" s="1" t="s">
        <v>32</v>
      </c>
      <c r="M542">
        <v>1</v>
      </c>
      <c r="N542">
        <v>0</v>
      </c>
      <c r="O542" s="1" t="s">
        <v>27</v>
      </c>
      <c r="P542">
        <v>1</v>
      </c>
      <c r="Q542">
        <v>1</v>
      </c>
      <c r="R542">
        <v>2</v>
      </c>
      <c r="S542">
        <v>11</v>
      </c>
      <c r="T542">
        <v>0</v>
      </c>
      <c r="U542">
        <v>0</v>
      </c>
      <c r="V542">
        <v>3.95</v>
      </c>
    </row>
    <row r="543" spans="1:22">
      <c r="A543" s="1" t="s">
        <v>589</v>
      </c>
      <c r="B543" s="1" t="s">
        <v>29</v>
      </c>
      <c r="C543" s="2">
        <v>46269</v>
      </c>
      <c r="D543" s="3">
        <v>0.34375</v>
      </c>
      <c r="E543">
        <v>80</v>
      </c>
      <c r="F543">
        <v>82</v>
      </c>
      <c r="G543">
        <v>3</v>
      </c>
      <c r="H543" s="1" t="s">
        <v>30</v>
      </c>
      <c r="I543">
        <v>32</v>
      </c>
      <c r="J543">
        <v>14</v>
      </c>
      <c r="K543" s="1" t="s">
        <v>31</v>
      </c>
      <c r="L543" s="1" t="s">
        <v>49</v>
      </c>
      <c r="M543">
        <v>0</v>
      </c>
      <c r="N543">
        <v>0</v>
      </c>
      <c r="O543" s="1" t="s">
        <v>27</v>
      </c>
      <c r="P543">
        <v>1</v>
      </c>
      <c r="Q543">
        <v>1</v>
      </c>
      <c r="R543">
        <v>2</v>
      </c>
      <c r="S543">
        <v>8</v>
      </c>
      <c r="T543">
        <v>1</v>
      </c>
      <c r="U543">
        <v>0</v>
      </c>
      <c r="V543">
        <v>2.5</v>
      </c>
    </row>
    <row r="544" spans="1:22">
      <c r="A544" s="1" t="s">
        <v>590</v>
      </c>
      <c r="B544" s="1" t="s">
        <v>34</v>
      </c>
      <c r="C544" s="2">
        <v>46280</v>
      </c>
      <c r="D544" s="3">
        <v>0.82291666666666663</v>
      </c>
      <c r="E544">
        <v>129</v>
      </c>
      <c r="F544">
        <v>124</v>
      </c>
      <c r="G544">
        <v>5</v>
      </c>
      <c r="H544" s="1" t="s">
        <v>35</v>
      </c>
      <c r="I544">
        <v>12.2</v>
      </c>
      <c r="J544">
        <v>18</v>
      </c>
      <c r="K544" s="1" t="s">
        <v>36</v>
      </c>
      <c r="L544" s="1" t="s">
        <v>26</v>
      </c>
      <c r="M544">
        <v>0</v>
      </c>
      <c r="N544">
        <v>0</v>
      </c>
      <c r="O544" s="1" t="s">
        <v>27</v>
      </c>
      <c r="P544">
        <v>1</v>
      </c>
      <c r="Q544">
        <v>1</v>
      </c>
      <c r="R544">
        <v>1</v>
      </c>
      <c r="S544">
        <v>19</v>
      </c>
      <c r="T544">
        <v>1</v>
      </c>
      <c r="U544">
        <v>0</v>
      </c>
      <c r="V544">
        <v>10.57</v>
      </c>
    </row>
    <row r="545" spans="1:22">
      <c r="A545" s="1" t="s">
        <v>591</v>
      </c>
      <c r="B545" s="1" t="s">
        <v>45</v>
      </c>
      <c r="C545" s="2">
        <v>46285</v>
      </c>
      <c r="D545" s="3">
        <v>0.5</v>
      </c>
      <c r="E545">
        <v>140</v>
      </c>
      <c r="F545">
        <v>146</v>
      </c>
      <c r="G545">
        <v>5</v>
      </c>
      <c r="H545" s="1" t="s">
        <v>46</v>
      </c>
      <c r="I545">
        <v>18.5</v>
      </c>
      <c r="J545">
        <v>22</v>
      </c>
      <c r="K545" s="1" t="s">
        <v>47</v>
      </c>
      <c r="L545" s="1" t="s">
        <v>38</v>
      </c>
      <c r="M545">
        <v>1</v>
      </c>
      <c r="N545">
        <v>0</v>
      </c>
      <c r="O545" s="1" t="s">
        <v>52</v>
      </c>
      <c r="P545">
        <v>1</v>
      </c>
      <c r="Q545">
        <v>1</v>
      </c>
      <c r="R545">
        <v>22</v>
      </c>
      <c r="S545">
        <v>12</v>
      </c>
      <c r="T545">
        <v>0</v>
      </c>
      <c r="U545">
        <v>1</v>
      </c>
      <c r="V545">
        <v>7.57</v>
      </c>
    </row>
    <row r="546" spans="1:22">
      <c r="A546" s="1" t="s">
        <v>592</v>
      </c>
      <c r="B546" s="1" t="s">
        <v>45</v>
      </c>
      <c r="C546" s="2">
        <v>46284</v>
      </c>
      <c r="D546" s="3">
        <v>0.80208333333333337</v>
      </c>
      <c r="E546">
        <v>41</v>
      </c>
      <c r="F546">
        <v>40</v>
      </c>
      <c r="G546">
        <v>3</v>
      </c>
      <c r="H546" s="1" t="s">
        <v>46</v>
      </c>
      <c r="I546">
        <v>18.5</v>
      </c>
      <c r="J546">
        <v>22</v>
      </c>
      <c r="K546" s="1" t="s">
        <v>47</v>
      </c>
      <c r="L546" s="1" t="s">
        <v>32</v>
      </c>
      <c r="M546">
        <v>1</v>
      </c>
      <c r="N546">
        <v>1</v>
      </c>
      <c r="O546" s="1" t="s">
        <v>27</v>
      </c>
      <c r="P546">
        <v>1</v>
      </c>
      <c r="Q546">
        <v>1</v>
      </c>
      <c r="R546">
        <v>16</v>
      </c>
      <c r="S546">
        <v>19</v>
      </c>
      <c r="T546">
        <v>1</v>
      </c>
      <c r="U546">
        <v>0</v>
      </c>
      <c r="V546">
        <v>2.2200000000000002</v>
      </c>
    </row>
    <row r="547" spans="1:22">
      <c r="A547" s="1" t="s">
        <v>593</v>
      </c>
      <c r="B547" s="1" t="s">
        <v>45</v>
      </c>
      <c r="C547" s="2">
        <v>46268</v>
      </c>
      <c r="D547" s="3">
        <v>0.77083333333333337</v>
      </c>
      <c r="E547">
        <v>134</v>
      </c>
      <c r="F547">
        <v>138</v>
      </c>
      <c r="G547">
        <v>6</v>
      </c>
      <c r="H547" s="1" t="s">
        <v>46</v>
      </c>
      <c r="I547">
        <v>18.5</v>
      </c>
      <c r="J547">
        <v>22</v>
      </c>
      <c r="K547" s="1" t="s">
        <v>47</v>
      </c>
      <c r="L547" s="1" t="s">
        <v>56</v>
      </c>
      <c r="M547">
        <v>0</v>
      </c>
      <c r="N547">
        <v>0</v>
      </c>
      <c r="O547" s="1" t="s">
        <v>27</v>
      </c>
      <c r="P547">
        <v>1</v>
      </c>
      <c r="Q547">
        <v>1</v>
      </c>
      <c r="R547">
        <v>5</v>
      </c>
      <c r="S547">
        <v>18</v>
      </c>
      <c r="T547">
        <v>1</v>
      </c>
      <c r="U547">
        <v>0</v>
      </c>
      <c r="V547">
        <v>7.24</v>
      </c>
    </row>
    <row r="548" spans="1:22">
      <c r="A548" s="1" t="s">
        <v>594</v>
      </c>
      <c r="B548" s="1" t="s">
        <v>45</v>
      </c>
      <c r="C548" s="2">
        <v>46285</v>
      </c>
      <c r="D548" s="3">
        <v>0.57291666666666663</v>
      </c>
      <c r="E548">
        <v>46</v>
      </c>
      <c r="F548">
        <v>50</v>
      </c>
      <c r="G548">
        <v>3</v>
      </c>
      <c r="H548" s="1" t="s">
        <v>46</v>
      </c>
      <c r="I548">
        <v>18.5</v>
      </c>
      <c r="J548">
        <v>22</v>
      </c>
      <c r="K548" s="1" t="s">
        <v>47</v>
      </c>
      <c r="L548" s="1" t="s">
        <v>38</v>
      </c>
      <c r="M548">
        <v>1</v>
      </c>
      <c r="N548">
        <v>0</v>
      </c>
      <c r="O548" s="1" t="s">
        <v>52</v>
      </c>
      <c r="P548">
        <v>1</v>
      </c>
      <c r="Q548">
        <v>1</v>
      </c>
      <c r="R548">
        <v>5</v>
      </c>
      <c r="S548">
        <v>13</v>
      </c>
      <c r="T548">
        <v>0</v>
      </c>
      <c r="U548">
        <v>1</v>
      </c>
      <c r="V548">
        <v>2.4900000000000002</v>
      </c>
    </row>
    <row r="549" spans="1:22">
      <c r="A549" s="1" t="s">
        <v>595</v>
      </c>
      <c r="B549" s="1" t="s">
        <v>23</v>
      </c>
      <c r="C549" s="2">
        <v>46276</v>
      </c>
      <c r="D549" s="3">
        <v>0.89583333333333337</v>
      </c>
      <c r="E549">
        <v>72</v>
      </c>
      <c r="F549">
        <v>73</v>
      </c>
      <c r="G549">
        <v>3</v>
      </c>
      <c r="H549" s="1" t="s">
        <v>24</v>
      </c>
      <c r="I549">
        <v>15</v>
      </c>
      <c r="J549">
        <v>16</v>
      </c>
      <c r="K549" s="1" t="s">
        <v>25</v>
      </c>
      <c r="L549" s="1" t="s">
        <v>49</v>
      </c>
      <c r="M549">
        <v>0</v>
      </c>
      <c r="N549">
        <v>0</v>
      </c>
      <c r="O549" s="1" t="s">
        <v>27</v>
      </c>
      <c r="P549">
        <v>1</v>
      </c>
      <c r="Q549">
        <v>1</v>
      </c>
      <c r="R549">
        <v>1</v>
      </c>
      <c r="S549">
        <v>21</v>
      </c>
      <c r="T549">
        <v>0</v>
      </c>
      <c r="U549">
        <v>0</v>
      </c>
      <c r="V549">
        <v>4.8</v>
      </c>
    </row>
    <row r="550" spans="1:22">
      <c r="A550" s="1" t="s">
        <v>596</v>
      </c>
      <c r="B550" s="1" t="s">
        <v>45</v>
      </c>
      <c r="C550" s="2">
        <v>46282</v>
      </c>
      <c r="D550" s="3">
        <v>0.25</v>
      </c>
      <c r="E550">
        <v>75</v>
      </c>
      <c r="F550">
        <v>68</v>
      </c>
      <c r="G550">
        <v>3</v>
      </c>
      <c r="H550" s="1" t="s">
        <v>46</v>
      </c>
      <c r="I550">
        <v>18.5</v>
      </c>
      <c r="J550">
        <v>22</v>
      </c>
      <c r="K550" s="1" t="s">
        <v>47</v>
      </c>
      <c r="L550" s="1" t="s">
        <v>56</v>
      </c>
      <c r="M550">
        <v>0</v>
      </c>
      <c r="N550">
        <v>0</v>
      </c>
      <c r="O550" s="1" t="s">
        <v>27</v>
      </c>
      <c r="P550">
        <v>1</v>
      </c>
      <c r="Q550">
        <v>1</v>
      </c>
      <c r="R550">
        <v>5</v>
      </c>
      <c r="S550">
        <v>6</v>
      </c>
      <c r="T550">
        <v>0</v>
      </c>
      <c r="U550">
        <v>0</v>
      </c>
      <c r="V550">
        <v>4.05</v>
      </c>
    </row>
    <row r="551" spans="1:22">
      <c r="A551" s="1" t="s">
        <v>597</v>
      </c>
      <c r="B551" s="1" t="s">
        <v>59</v>
      </c>
      <c r="C551" s="2">
        <v>46295</v>
      </c>
      <c r="D551" s="3">
        <v>0.32291666666666669</v>
      </c>
      <c r="E551">
        <v>76</v>
      </c>
      <c r="F551">
        <v>78</v>
      </c>
      <c r="G551">
        <v>4</v>
      </c>
      <c r="H551" s="1" t="s">
        <v>60</v>
      </c>
      <c r="I551">
        <v>24.8</v>
      </c>
      <c r="J551">
        <v>28</v>
      </c>
      <c r="K551" s="1" t="s">
        <v>61</v>
      </c>
      <c r="L551" s="1" t="s">
        <v>69</v>
      </c>
      <c r="M551">
        <v>0</v>
      </c>
      <c r="N551">
        <v>0</v>
      </c>
      <c r="O551" s="1" t="s">
        <v>27</v>
      </c>
      <c r="P551">
        <v>1</v>
      </c>
      <c r="Q551">
        <v>1</v>
      </c>
      <c r="R551">
        <v>4</v>
      </c>
      <c r="S551">
        <v>7</v>
      </c>
      <c r="T551">
        <v>0</v>
      </c>
      <c r="U551">
        <v>0</v>
      </c>
      <c r="V551">
        <v>3.06</v>
      </c>
    </row>
    <row r="552" spans="1:22">
      <c r="A552" s="1" t="s">
        <v>598</v>
      </c>
      <c r="B552" s="1" t="s">
        <v>59</v>
      </c>
      <c r="C552" s="2">
        <v>46292</v>
      </c>
      <c r="D552" s="3">
        <v>0.66666666666666663</v>
      </c>
      <c r="E552">
        <v>88</v>
      </c>
      <c r="F552">
        <v>88</v>
      </c>
      <c r="G552">
        <v>3</v>
      </c>
      <c r="H552" s="1" t="s">
        <v>60</v>
      </c>
      <c r="I552">
        <v>24.8</v>
      </c>
      <c r="J552">
        <v>28</v>
      </c>
      <c r="K552" s="1" t="s">
        <v>61</v>
      </c>
      <c r="L552" s="1" t="s">
        <v>38</v>
      </c>
      <c r="M552">
        <v>1</v>
      </c>
      <c r="N552">
        <v>0</v>
      </c>
      <c r="O552" s="1" t="s">
        <v>134</v>
      </c>
      <c r="P552">
        <v>1</v>
      </c>
      <c r="Q552">
        <v>1</v>
      </c>
      <c r="R552">
        <v>11</v>
      </c>
      <c r="S552">
        <v>16</v>
      </c>
      <c r="T552">
        <v>0</v>
      </c>
      <c r="U552">
        <v>1</v>
      </c>
      <c r="V552">
        <v>3.55</v>
      </c>
    </row>
    <row r="553" spans="1:22">
      <c r="A553" s="1" t="s">
        <v>599</v>
      </c>
      <c r="B553" s="1" t="s">
        <v>45</v>
      </c>
      <c r="C553" s="2">
        <v>46278</v>
      </c>
      <c r="D553" s="3">
        <v>0.61458333333333337</v>
      </c>
      <c r="E553">
        <v>210</v>
      </c>
      <c r="F553">
        <v>218</v>
      </c>
      <c r="G553">
        <v>7</v>
      </c>
      <c r="H553" s="1" t="s">
        <v>46</v>
      </c>
      <c r="I553">
        <v>18.5</v>
      </c>
      <c r="J553">
        <v>22</v>
      </c>
      <c r="K553" s="1" t="s">
        <v>47</v>
      </c>
      <c r="L553" s="1" t="s">
        <v>38</v>
      </c>
      <c r="M553">
        <v>1</v>
      </c>
      <c r="N553">
        <v>0</v>
      </c>
      <c r="O553" s="1" t="s">
        <v>27</v>
      </c>
      <c r="P553">
        <v>1</v>
      </c>
      <c r="Q553">
        <v>1</v>
      </c>
      <c r="R553">
        <v>4</v>
      </c>
      <c r="S553">
        <v>14</v>
      </c>
      <c r="T553">
        <v>0</v>
      </c>
      <c r="U553">
        <v>0</v>
      </c>
      <c r="V553">
        <v>11.35</v>
      </c>
    </row>
    <row r="554" spans="1:22">
      <c r="A554" s="1" t="s">
        <v>600</v>
      </c>
      <c r="B554" s="1" t="s">
        <v>34</v>
      </c>
      <c r="C554" s="2">
        <v>46276</v>
      </c>
      <c r="D554" s="3">
        <v>0.30208333333333331</v>
      </c>
      <c r="E554">
        <v>95</v>
      </c>
      <c r="F554">
        <v>96</v>
      </c>
      <c r="G554">
        <v>4</v>
      </c>
      <c r="H554" s="1" t="s">
        <v>35</v>
      </c>
      <c r="I554">
        <v>12.2</v>
      </c>
      <c r="J554">
        <v>18</v>
      </c>
      <c r="K554" s="1" t="s">
        <v>36</v>
      </c>
      <c r="L554" s="1" t="s">
        <v>49</v>
      </c>
      <c r="M554">
        <v>0</v>
      </c>
      <c r="N554">
        <v>0</v>
      </c>
      <c r="O554" s="1" t="s">
        <v>27</v>
      </c>
      <c r="P554">
        <v>1</v>
      </c>
      <c r="Q554">
        <v>1</v>
      </c>
      <c r="R554">
        <v>9</v>
      </c>
      <c r="S554">
        <v>7</v>
      </c>
      <c r="T554">
        <v>0</v>
      </c>
      <c r="U554">
        <v>0</v>
      </c>
      <c r="V554">
        <v>7.79</v>
      </c>
    </row>
    <row r="555" spans="1:22">
      <c r="A555" s="1" t="s">
        <v>601</v>
      </c>
      <c r="B555" s="1" t="s">
        <v>34</v>
      </c>
      <c r="C555" s="2">
        <v>46267</v>
      </c>
      <c r="D555" s="3">
        <v>0.48958333333333331</v>
      </c>
      <c r="E555">
        <v>162</v>
      </c>
      <c r="F555">
        <v>158</v>
      </c>
      <c r="G555">
        <v>7</v>
      </c>
      <c r="H555" s="1" t="s">
        <v>35</v>
      </c>
      <c r="I555">
        <v>12.2</v>
      </c>
      <c r="J555">
        <v>18</v>
      </c>
      <c r="K555" s="1" t="s">
        <v>36</v>
      </c>
      <c r="L555" s="1" t="s">
        <v>69</v>
      </c>
      <c r="M555">
        <v>0</v>
      </c>
      <c r="N555">
        <v>0</v>
      </c>
      <c r="O555" s="1" t="s">
        <v>27</v>
      </c>
      <c r="P555">
        <v>1</v>
      </c>
      <c r="Q555">
        <v>1</v>
      </c>
      <c r="R555">
        <v>18</v>
      </c>
      <c r="S555">
        <v>11</v>
      </c>
      <c r="T555">
        <v>0</v>
      </c>
      <c r="U555">
        <v>0</v>
      </c>
      <c r="V555">
        <v>13.28</v>
      </c>
    </row>
    <row r="556" spans="1:22">
      <c r="A556" s="1" t="s">
        <v>602</v>
      </c>
      <c r="B556" s="1" t="s">
        <v>45</v>
      </c>
      <c r="C556" s="2">
        <v>46274</v>
      </c>
      <c r="D556" s="3">
        <v>0.9375</v>
      </c>
      <c r="E556">
        <v>54</v>
      </c>
      <c r="F556">
        <v>48</v>
      </c>
      <c r="G556">
        <v>4</v>
      </c>
      <c r="H556" s="1" t="s">
        <v>46</v>
      </c>
      <c r="I556">
        <v>18.5</v>
      </c>
      <c r="J556">
        <v>22</v>
      </c>
      <c r="K556" s="1" t="s">
        <v>47</v>
      </c>
      <c r="L556" s="1" t="s">
        <v>69</v>
      </c>
      <c r="M556">
        <v>0</v>
      </c>
      <c r="N556">
        <v>0</v>
      </c>
      <c r="O556" s="1" t="s">
        <v>27</v>
      </c>
      <c r="P556">
        <v>1</v>
      </c>
      <c r="Q556">
        <v>1</v>
      </c>
      <c r="R556">
        <v>14</v>
      </c>
      <c r="S556">
        <v>22</v>
      </c>
      <c r="T556">
        <v>0</v>
      </c>
      <c r="U556">
        <v>0</v>
      </c>
      <c r="V556">
        <v>2.92</v>
      </c>
    </row>
    <row r="557" spans="1:22">
      <c r="A557" s="1" t="s">
        <v>603</v>
      </c>
      <c r="B557" s="1" t="s">
        <v>34</v>
      </c>
      <c r="C557" s="2">
        <v>46291</v>
      </c>
      <c r="D557" s="3">
        <v>0.39583333333333331</v>
      </c>
      <c r="E557">
        <v>100</v>
      </c>
      <c r="F557">
        <v>91</v>
      </c>
      <c r="G557">
        <v>6</v>
      </c>
      <c r="H557" s="1" t="s">
        <v>35</v>
      </c>
      <c r="I557">
        <v>12.2</v>
      </c>
      <c r="J557">
        <v>18</v>
      </c>
      <c r="K557" s="1" t="s">
        <v>36</v>
      </c>
      <c r="L557" s="1" t="s">
        <v>32</v>
      </c>
      <c r="M557">
        <v>1</v>
      </c>
      <c r="N557">
        <v>0</v>
      </c>
      <c r="O557" s="1" t="s">
        <v>27</v>
      </c>
      <c r="P557">
        <v>1</v>
      </c>
      <c r="Q557">
        <v>1</v>
      </c>
      <c r="R557">
        <v>2</v>
      </c>
      <c r="S557">
        <v>9</v>
      </c>
      <c r="T557">
        <v>1</v>
      </c>
      <c r="U557">
        <v>0</v>
      </c>
      <c r="V557">
        <v>8.1999999999999993</v>
      </c>
    </row>
    <row r="558" spans="1:22">
      <c r="A558" s="1" t="s">
        <v>604</v>
      </c>
      <c r="B558" s="1" t="s">
        <v>23</v>
      </c>
      <c r="C558" s="2">
        <v>46267</v>
      </c>
      <c r="D558" s="3">
        <v>0.65625</v>
      </c>
      <c r="E558">
        <v>29</v>
      </c>
      <c r="F558">
        <v>21</v>
      </c>
      <c r="G558">
        <v>3</v>
      </c>
      <c r="H558" s="1" t="s">
        <v>24</v>
      </c>
      <c r="I558">
        <v>15</v>
      </c>
      <c r="J558">
        <v>16</v>
      </c>
      <c r="K558" s="1" t="s">
        <v>25</v>
      </c>
      <c r="L558" s="1" t="s">
        <v>69</v>
      </c>
      <c r="M558">
        <v>0</v>
      </c>
      <c r="N558">
        <v>0</v>
      </c>
      <c r="O558" s="1" t="s">
        <v>27</v>
      </c>
      <c r="P558">
        <v>1</v>
      </c>
      <c r="Q558">
        <v>1</v>
      </c>
      <c r="R558">
        <v>9</v>
      </c>
      <c r="S558">
        <v>15</v>
      </c>
      <c r="T558">
        <v>0</v>
      </c>
      <c r="U558">
        <v>0</v>
      </c>
      <c r="V558">
        <v>1.93</v>
      </c>
    </row>
    <row r="559" spans="1:22">
      <c r="A559" s="1" t="s">
        <v>605</v>
      </c>
      <c r="B559" s="1" t="s">
        <v>23</v>
      </c>
      <c r="C559" s="2">
        <v>46286</v>
      </c>
      <c r="D559" s="3">
        <v>0.67708333333333337</v>
      </c>
      <c r="E559">
        <v>103</v>
      </c>
      <c r="F559">
        <v>104</v>
      </c>
      <c r="G559">
        <v>5</v>
      </c>
      <c r="H559" s="1" t="s">
        <v>24</v>
      </c>
      <c r="I559">
        <v>15</v>
      </c>
      <c r="J559">
        <v>16</v>
      </c>
      <c r="K559" s="1" t="s">
        <v>25</v>
      </c>
      <c r="L559" s="1" t="s">
        <v>65</v>
      </c>
      <c r="M559">
        <v>0</v>
      </c>
      <c r="N559">
        <v>0</v>
      </c>
      <c r="O559" s="1" t="s">
        <v>27</v>
      </c>
      <c r="P559">
        <v>1</v>
      </c>
      <c r="Q559">
        <v>1</v>
      </c>
      <c r="R559">
        <v>5</v>
      </c>
      <c r="S559">
        <v>16</v>
      </c>
      <c r="T559">
        <v>0</v>
      </c>
      <c r="U559">
        <v>0</v>
      </c>
      <c r="V559">
        <v>6.87</v>
      </c>
    </row>
    <row r="560" spans="1:22">
      <c r="A560" s="1" t="s">
        <v>606</v>
      </c>
      <c r="B560" s="1" t="s">
        <v>34</v>
      </c>
      <c r="C560" s="2">
        <v>46274</v>
      </c>
      <c r="D560" s="3">
        <v>0.53125</v>
      </c>
      <c r="E560">
        <v>121</v>
      </c>
      <c r="F560">
        <v>134</v>
      </c>
      <c r="G560">
        <v>7</v>
      </c>
      <c r="H560" s="1" t="s">
        <v>35</v>
      </c>
      <c r="I560">
        <v>12.2</v>
      </c>
      <c r="J560">
        <v>18</v>
      </c>
      <c r="K560" s="1" t="s">
        <v>36</v>
      </c>
      <c r="L560" s="1" t="s">
        <v>69</v>
      </c>
      <c r="M560">
        <v>0</v>
      </c>
      <c r="N560">
        <v>0</v>
      </c>
      <c r="O560" s="1" t="s">
        <v>27</v>
      </c>
      <c r="P560">
        <v>1</v>
      </c>
      <c r="Q560">
        <v>1</v>
      </c>
      <c r="R560">
        <v>0</v>
      </c>
      <c r="S560">
        <v>12</v>
      </c>
      <c r="T560">
        <v>0</v>
      </c>
      <c r="U560">
        <v>0</v>
      </c>
      <c r="V560">
        <v>9.92</v>
      </c>
    </row>
    <row r="561" spans="1:22">
      <c r="A561" s="1" t="s">
        <v>607</v>
      </c>
      <c r="B561" s="1" t="s">
        <v>59</v>
      </c>
      <c r="C561" s="2">
        <v>46274</v>
      </c>
      <c r="D561" s="3">
        <v>0.57291666666666663</v>
      </c>
      <c r="E561">
        <v>79</v>
      </c>
      <c r="F561">
        <v>80</v>
      </c>
      <c r="G561">
        <v>4</v>
      </c>
      <c r="H561" s="1" t="s">
        <v>60</v>
      </c>
      <c r="I561">
        <v>24.8</v>
      </c>
      <c r="J561">
        <v>28</v>
      </c>
      <c r="K561" s="1" t="s">
        <v>61</v>
      </c>
      <c r="L561" s="1" t="s">
        <v>69</v>
      </c>
      <c r="M561">
        <v>0</v>
      </c>
      <c r="N561">
        <v>0</v>
      </c>
      <c r="O561" s="1" t="s">
        <v>27</v>
      </c>
      <c r="P561">
        <v>1</v>
      </c>
      <c r="Q561">
        <v>1</v>
      </c>
      <c r="R561">
        <v>8</v>
      </c>
      <c r="S561">
        <v>13</v>
      </c>
      <c r="T561">
        <v>0</v>
      </c>
      <c r="U561">
        <v>0</v>
      </c>
      <c r="V561">
        <v>3.19</v>
      </c>
    </row>
    <row r="562" spans="1:22">
      <c r="A562" s="1" t="s">
        <v>608</v>
      </c>
      <c r="B562" s="1" t="s">
        <v>34</v>
      </c>
      <c r="C562" s="2">
        <v>46273</v>
      </c>
      <c r="D562" s="3">
        <v>0.375</v>
      </c>
      <c r="E562">
        <v>117</v>
      </c>
      <c r="F562">
        <v>114</v>
      </c>
      <c r="G562">
        <v>4</v>
      </c>
      <c r="H562" s="1" t="s">
        <v>35</v>
      </c>
      <c r="I562">
        <v>12.2</v>
      </c>
      <c r="J562">
        <v>18</v>
      </c>
      <c r="K562" s="1" t="s">
        <v>36</v>
      </c>
      <c r="L562" s="1" t="s">
        <v>26</v>
      </c>
      <c r="M562">
        <v>0</v>
      </c>
      <c r="N562">
        <v>0</v>
      </c>
      <c r="O562" s="1" t="s">
        <v>27</v>
      </c>
      <c r="P562">
        <v>1</v>
      </c>
      <c r="Q562">
        <v>1</v>
      </c>
      <c r="R562">
        <v>4</v>
      </c>
      <c r="S562">
        <v>9</v>
      </c>
      <c r="T562">
        <v>1</v>
      </c>
      <c r="U562">
        <v>0</v>
      </c>
      <c r="V562">
        <v>9.59</v>
      </c>
    </row>
    <row r="563" spans="1:22">
      <c r="A563" s="1" t="s">
        <v>609</v>
      </c>
      <c r="B563" s="1" t="s">
        <v>23</v>
      </c>
      <c r="C563" s="2">
        <v>46282</v>
      </c>
      <c r="D563" s="3">
        <v>0.52083333333333337</v>
      </c>
      <c r="E563">
        <v>102</v>
      </c>
      <c r="F563">
        <v>95</v>
      </c>
      <c r="G563">
        <v>5</v>
      </c>
      <c r="H563" s="1" t="s">
        <v>24</v>
      </c>
      <c r="I563">
        <v>15</v>
      </c>
      <c r="J563">
        <v>16</v>
      </c>
      <c r="K563" s="1" t="s">
        <v>25</v>
      </c>
      <c r="L563" s="1" t="s">
        <v>56</v>
      </c>
      <c r="M563">
        <v>0</v>
      </c>
      <c r="N563">
        <v>0</v>
      </c>
      <c r="O563" s="1" t="s">
        <v>27</v>
      </c>
      <c r="P563">
        <v>1</v>
      </c>
      <c r="Q563">
        <v>1</v>
      </c>
      <c r="R563">
        <v>4</v>
      </c>
      <c r="S563">
        <v>12</v>
      </c>
      <c r="T563">
        <v>0</v>
      </c>
      <c r="U563">
        <v>0</v>
      </c>
      <c r="V563">
        <v>6.8</v>
      </c>
    </row>
    <row r="564" spans="1:22">
      <c r="A564" s="1" t="s">
        <v>610</v>
      </c>
      <c r="B564" s="1" t="s">
        <v>29</v>
      </c>
      <c r="C564" s="2">
        <v>46266</v>
      </c>
      <c r="D564" s="3">
        <v>0.5625</v>
      </c>
      <c r="E564">
        <v>101</v>
      </c>
      <c r="F564">
        <v>101</v>
      </c>
      <c r="G564">
        <v>4</v>
      </c>
      <c r="H564" s="1" t="s">
        <v>30</v>
      </c>
      <c r="I564">
        <v>32</v>
      </c>
      <c r="J564">
        <v>14</v>
      </c>
      <c r="K564" s="1" t="s">
        <v>31</v>
      </c>
      <c r="L564" s="1" t="s">
        <v>26</v>
      </c>
      <c r="M564">
        <v>0</v>
      </c>
      <c r="N564">
        <v>0</v>
      </c>
      <c r="O564" s="1" t="s">
        <v>27</v>
      </c>
      <c r="P564">
        <v>1</v>
      </c>
      <c r="Q564">
        <v>1</v>
      </c>
      <c r="R564">
        <v>0</v>
      </c>
      <c r="S564">
        <v>13</v>
      </c>
      <c r="T564">
        <v>0</v>
      </c>
      <c r="U564">
        <v>0</v>
      </c>
      <c r="V564">
        <v>3.16</v>
      </c>
    </row>
    <row r="565" spans="1:22">
      <c r="A565" s="1" t="s">
        <v>611</v>
      </c>
      <c r="B565" s="1" t="s">
        <v>29</v>
      </c>
      <c r="C565" s="2">
        <v>46290</v>
      </c>
      <c r="D565" s="3">
        <v>0.82291666666666663</v>
      </c>
      <c r="E565">
        <v>48</v>
      </c>
      <c r="F565">
        <v>53</v>
      </c>
      <c r="G565">
        <v>2</v>
      </c>
      <c r="H565" s="1" t="s">
        <v>30</v>
      </c>
      <c r="I565">
        <v>32</v>
      </c>
      <c r="J565">
        <v>14</v>
      </c>
      <c r="K565" s="1" t="s">
        <v>31</v>
      </c>
      <c r="L565" s="1" t="s">
        <v>49</v>
      </c>
      <c r="M565">
        <v>0</v>
      </c>
      <c r="N565">
        <v>0</v>
      </c>
      <c r="O565" s="1" t="s">
        <v>27</v>
      </c>
      <c r="P565">
        <v>1</v>
      </c>
      <c r="Q565">
        <v>1</v>
      </c>
      <c r="R565">
        <v>1</v>
      </c>
      <c r="S565">
        <v>19</v>
      </c>
      <c r="T565">
        <v>1</v>
      </c>
      <c r="U565">
        <v>0</v>
      </c>
      <c r="V565">
        <v>1.5</v>
      </c>
    </row>
    <row r="566" spans="1:22">
      <c r="A566" s="1" t="s">
        <v>612</v>
      </c>
      <c r="B566" s="1" t="s">
        <v>45</v>
      </c>
      <c r="C566" s="2">
        <v>46294</v>
      </c>
      <c r="D566" s="3">
        <v>0.78125</v>
      </c>
      <c r="E566">
        <v>142</v>
      </c>
      <c r="F566">
        <v>141</v>
      </c>
      <c r="G566">
        <v>6</v>
      </c>
      <c r="H566" s="1" t="s">
        <v>46</v>
      </c>
      <c r="I566">
        <v>18.5</v>
      </c>
      <c r="J566">
        <v>22</v>
      </c>
      <c r="K566" s="1" t="s">
        <v>47</v>
      </c>
      <c r="L566" s="1" t="s">
        <v>26</v>
      </c>
      <c r="M566">
        <v>0</v>
      </c>
      <c r="N566">
        <v>0</v>
      </c>
      <c r="O566" s="1" t="s">
        <v>27</v>
      </c>
      <c r="P566">
        <v>1</v>
      </c>
      <c r="Q566">
        <v>1</v>
      </c>
      <c r="R566">
        <v>15</v>
      </c>
      <c r="S566">
        <v>18</v>
      </c>
      <c r="T566">
        <v>1</v>
      </c>
      <c r="U566">
        <v>0</v>
      </c>
      <c r="V566">
        <v>7.68</v>
      </c>
    </row>
    <row r="567" spans="1:22">
      <c r="A567" s="1" t="s">
        <v>613</v>
      </c>
      <c r="B567" s="1" t="s">
        <v>29</v>
      </c>
      <c r="C567" s="2">
        <v>46276</v>
      </c>
      <c r="D567" s="3">
        <v>0.92708333333333337</v>
      </c>
      <c r="E567">
        <v>64</v>
      </c>
      <c r="F567">
        <v>63</v>
      </c>
      <c r="G567">
        <v>4</v>
      </c>
      <c r="H567" s="1" t="s">
        <v>30</v>
      </c>
      <c r="I567">
        <v>32</v>
      </c>
      <c r="J567">
        <v>14</v>
      </c>
      <c r="K567" s="1" t="s">
        <v>31</v>
      </c>
      <c r="L567" s="1" t="s">
        <v>49</v>
      </c>
      <c r="M567">
        <v>0</v>
      </c>
      <c r="N567">
        <v>0</v>
      </c>
      <c r="O567" s="1" t="s">
        <v>27</v>
      </c>
      <c r="P567">
        <v>1</v>
      </c>
      <c r="Q567">
        <v>1</v>
      </c>
      <c r="R567">
        <v>8</v>
      </c>
      <c r="S567">
        <v>22</v>
      </c>
      <c r="T567">
        <v>0</v>
      </c>
      <c r="U567">
        <v>0</v>
      </c>
      <c r="V567">
        <v>2</v>
      </c>
    </row>
    <row r="568" spans="1:22">
      <c r="A568" s="1" t="s">
        <v>614</v>
      </c>
      <c r="B568" s="1" t="s">
        <v>34</v>
      </c>
      <c r="C568" s="2">
        <v>46273</v>
      </c>
      <c r="D568" s="3">
        <v>0.44791666666666669</v>
      </c>
      <c r="E568">
        <v>123</v>
      </c>
      <c r="F568">
        <v>113</v>
      </c>
      <c r="G568">
        <v>5</v>
      </c>
      <c r="H568" s="1" t="s">
        <v>35</v>
      </c>
      <c r="I568">
        <v>12.2</v>
      </c>
      <c r="J568">
        <v>18</v>
      </c>
      <c r="K568" s="1" t="s">
        <v>36</v>
      </c>
      <c r="L568" s="1" t="s">
        <v>26</v>
      </c>
      <c r="M568">
        <v>0</v>
      </c>
      <c r="N568">
        <v>0</v>
      </c>
      <c r="O568" s="1" t="s">
        <v>27</v>
      </c>
      <c r="P568">
        <v>1</v>
      </c>
      <c r="Q568">
        <v>1</v>
      </c>
      <c r="R568">
        <v>2</v>
      </c>
      <c r="S568">
        <v>10</v>
      </c>
      <c r="T568">
        <v>1</v>
      </c>
      <c r="U568">
        <v>0</v>
      </c>
      <c r="V568">
        <v>10.08</v>
      </c>
    </row>
    <row r="569" spans="1:22">
      <c r="A569" s="1" t="s">
        <v>615</v>
      </c>
      <c r="B569" s="1" t="s">
        <v>59</v>
      </c>
      <c r="C569" s="2">
        <v>46275</v>
      </c>
      <c r="D569" s="3">
        <v>0.27083333333333331</v>
      </c>
      <c r="E569">
        <v>143</v>
      </c>
      <c r="F569">
        <v>131</v>
      </c>
      <c r="G569">
        <v>7</v>
      </c>
      <c r="H569" s="1" t="s">
        <v>60</v>
      </c>
      <c r="I569">
        <v>24.8</v>
      </c>
      <c r="J569">
        <v>28</v>
      </c>
      <c r="K569" s="1" t="s">
        <v>61</v>
      </c>
      <c r="L569" s="1" t="s">
        <v>56</v>
      </c>
      <c r="M569">
        <v>0</v>
      </c>
      <c r="N569">
        <v>0</v>
      </c>
      <c r="O569" s="1" t="s">
        <v>27</v>
      </c>
      <c r="P569">
        <v>1</v>
      </c>
      <c r="Q569">
        <v>1</v>
      </c>
      <c r="R569">
        <v>23</v>
      </c>
      <c r="S569">
        <v>6</v>
      </c>
      <c r="T569">
        <v>0</v>
      </c>
      <c r="U569">
        <v>0</v>
      </c>
      <c r="V569">
        <v>5.77</v>
      </c>
    </row>
    <row r="570" spans="1:22">
      <c r="A570" s="1" t="s">
        <v>616</v>
      </c>
      <c r="B570" s="1" t="s">
        <v>45</v>
      </c>
      <c r="C570" s="2">
        <v>46290</v>
      </c>
      <c r="D570" s="3">
        <v>0.85416666666666663</v>
      </c>
      <c r="E570">
        <v>53</v>
      </c>
      <c r="F570">
        <v>59</v>
      </c>
      <c r="G570">
        <v>4</v>
      </c>
      <c r="H570" s="1" t="s">
        <v>46</v>
      </c>
      <c r="I570">
        <v>18.5</v>
      </c>
      <c r="J570">
        <v>22</v>
      </c>
      <c r="K570" s="1" t="s">
        <v>47</v>
      </c>
      <c r="L570" s="1" t="s">
        <v>49</v>
      </c>
      <c r="M570">
        <v>0</v>
      </c>
      <c r="N570">
        <v>0</v>
      </c>
      <c r="O570" s="1" t="s">
        <v>27</v>
      </c>
      <c r="P570">
        <v>1</v>
      </c>
      <c r="Q570">
        <v>1</v>
      </c>
      <c r="R570">
        <v>3</v>
      </c>
      <c r="S570">
        <v>20</v>
      </c>
      <c r="T570">
        <v>0</v>
      </c>
      <c r="U570">
        <v>0</v>
      </c>
      <c r="V570">
        <v>2.86</v>
      </c>
    </row>
    <row r="571" spans="1:22">
      <c r="A571" s="1" t="s">
        <v>617</v>
      </c>
      <c r="B571" s="1" t="s">
        <v>34</v>
      </c>
      <c r="C571" s="2">
        <v>46272</v>
      </c>
      <c r="D571" s="3">
        <v>0.72916666666666663</v>
      </c>
      <c r="E571">
        <v>135</v>
      </c>
      <c r="F571">
        <v>133</v>
      </c>
      <c r="G571">
        <v>5</v>
      </c>
      <c r="H571" s="1" t="s">
        <v>35</v>
      </c>
      <c r="I571">
        <v>12.2</v>
      </c>
      <c r="J571">
        <v>18</v>
      </c>
      <c r="K571" s="1" t="s">
        <v>36</v>
      </c>
      <c r="L571" s="1" t="s">
        <v>65</v>
      </c>
      <c r="M571">
        <v>0</v>
      </c>
      <c r="N571">
        <v>0</v>
      </c>
      <c r="O571" s="1" t="s">
        <v>27</v>
      </c>
      <c r="P571">
        <v>1</v>
      </c>
      <c r="Q571">
        <v>1</v>
      </c>
      <c r="R571">
        <v>13</v>
      </c>
      <c r="S571">
        <v>17</v>
      </c>
      <c r="T571">
        <v>1</v>
      </c>
      <c r="U571">
        <v>0</v>
      </c>
      <c r="V571">
        <v>11.07</v>
      </c>
    </row>
    <row r="572" spans="1:22">
      <c r="A572" s="1" t="s">
        <v>618</v>
      </c>
      <c r="B572" s="1" t="s">
        <v>59</v>
      </c>
      <c r="C572" s="2">
        <v>46268</v>
      </c>
      <c r="D572" s="3">
        <v>0.9375</v>
      </c>
      <c r="E572">
        <v>189</v>
      </c>
      <c r="F572">
        <v>184</v>
      </c>
      <c r="G572">
        <v>6</v>
      </c>
      <c r="H572" s="1" t="s">
        <v>60</v>
      </c>
      <c r="I572">
        <v>24.8</v>
      </c>
      <c r="J572">
        <v>28</v>
      </c>
      <c r="K572" s="1" t="s">
        <v>61</v>
      </c>
      <c r="L572" s="1" t="s">
        <v>56</v>
      </c>
      <c r="M572">
        <v>0</v>
      </c>
      <c r="N572">
        <v>0</v>
      </c>
      <c r="O572" s="1" t="s">
        <v>27</v>
      </c>
      <c r="P572">
        <v>1</v>
      </c>
      <c r="Q572">
        <v>1</v>
      </c>
      <c r="R572">
        <v>1</v>
      </c>
      <c r="S572">
        <v>22</v>
      </c>
      <c r="T572">
        <v>0</v>
      </c>
      <c r="U572">
        <v>0</v>
      </c>
      <c r="V572">
        <v>7.62</v>
      </c>
    </row>
    <row r="573" spans="1:22">
      <c r="A573" s="1" t="s">
        <v>619</v>
      </c>
      <c r="B573" s="1" t="s">
        <v>29</v>
      </c>
      <c r="C573" s="2">
        <v>46268</v>
      </c>
      <c r="D573" s="3">
        <v>0.51041666666666663</v>
      </c>
      <c r="E573">
        <v>126</v>
      </c>
      <c r="F573">
        <v>113</v>
      </c>
      <c r="G573">
        <v>6</v>
      </c>
      <c r="H573" s="1" t="s">
        <v>30</v>
      </c>
      <c r="I573">
        <v>32</v>
      </c>
      <c r="J573">
        <v>14</v>
      </c>
      <c r="K573" s="1" t="s">
        <v>31</v>
      </c>
      <c r="L573" s="1" t="s">
        <v>56</v>
      </c>
      <c r="M573">
        <v>0</v>
      </c>
      <c r="N573">
        <v>0</v>
      </c>
      <c r="O573" s="1" t="s">
        <v>27</v>
      </c>
      <c r="P573">
        <v>1</v>
      </c>
      <c r="Q573">
        <v>1</v>
      </c>
      <c r="R573">
        <v>17</v>
      </c>
      <c r="S573">
        <v>12</v>
      </c>
      <c r="T573">
        <v>0</v>
      </c>
      <c r="U573">
        <v>0</v>
      </c>
      <c r="V573">
        <v>3.94</v>
      </c>
    </row>
    <row r="574" spans="1:22">
      <c r="A574" s="1" t="s">
        <v>620</v>
      </c>
      <c r="B574" s="1" t="s">
        <v>34</v>
      </c>
      <c r="C574" s="2">
        <v>46283</v>
      </c>
      <c r="D574" s="3">
        <v>0.23958333333333334</v>
      </c>
      <c r="E574">
        <v>74</v>
      </c>
      <c r="F574">
        <v>71</v>
      </c>
      <c r="G574">
        <v>5</v>
      </c>
      <c r="H574" s="1" t="s">
        <v>35</v>
      </c>
      <c r="I574">
        <v>12.2</v>
      </c>
      <c r="J574">
        <v>18</v>
      </c>
      <c r="K574" s="1" t="s">
        <v>36</v>
      </c>
      <c r="L574" s="1" t="s">
        <v>49</v>
      </c>
      <c r="M574">
        <v>0</v>
      </c>
      <c r="N574">
        <v>0</v>
      </c>
      <c r="O574" s="1" t="s">
        <v>27</v>
      </c>
      <c r="P574">
        <v>1</v>
      </c>
      <c r="Q574">
        <v>1</v>
      </c>
      <c r="R574">
        <v>2</v>
      </c>
      <c r="S574">
        <v>5</v>
      </c>
      <c r="T574">
        <v>0</v>
      </c>
      <c r="U574">
        <v>0</v>
      </c>
      <c r="V574">
        <v>6.07</v>
      </c>
    </row>
    <row r="575" spans="1:22">
      <c r="A575" s="1" t="s">
        <v>621</v>
      </c>
      <c r="B575" s="1" t="s">
        <v>23</v>
      </c>
      <c r="C575" s="2">
        <v>46270</v>
      </c>
      <c r="D575" s="3">
        <v>0.22916666666666666</v>
      </c>
      <c r="E575">
        <v>112</v>
      </c>
      <c r="F575">
        <v>105</v>
      </c>
      <c r="G575">
        <v>5</v>
      </c>
      <c r="H575" s="1" t="s">
        <v>24</v>
      </c>
      <c r="I575">
        <v>15</v>
      </c>
      <c r="J575">
        <v>16</v>
      </c>
      <c r="K575" s="1" t="s">
        <v>25</v>
      </c>
      <c r="L575" s="1" t="s">
        <v>32</v>
      </c>
      <c r="M575">
        <v>1</v>
      </c>
      <c r="N575">
        <v>1</v>
      </c>
      <c r="O575" s="1" t="s">
        <v>27</v>
      </c>
      <c r="P575">
        <v>1</v>
      </c>
      <c r="Q575">
        <v>1</v>
      </c>
      <c r="R575">
        <v>4</v>
      </c>
      <c r="S575">
        <v>5</v>
      </c>
      <c r="T575">
        <v>0</v>
      </c>
      <c r="U575">
        <v>0</v>
      </c>
      <c r="V575">
        <v>7.47</v>
      </c>
    </row>
    <row r="576" spans="1:22">
      <c r="A576" s="1" t="s">
        <v>622</v>
      </c>
      <c r="B576" s="1" t="s">
        <v>45</v>
      </c>
      <c r="C576" s="2">
        <v>46277</v>
      </c>
      <c r="D576" s="3">
        <v>0.5</v>
      </c>
      <c r="E576">
        <v>171</v>
      </c>
      <c r="F576">
        <v>173</v>
      </c>
      <c r="G576">
        <v>6</v>
      </c>
      <c r="H576" s="1" t="s">
        <v>46</v>
      </c>
      <c r="I576">
        <v>18.5</v>
      </c>
      <c r="J576">
        <v>22</v>
      </c>
      <c r="K576" s="1" t="s">
        <v>47</v>
      </c>
      <c r="L576" s="1" t="s">
        <v>32</v>
      </c>
      <c r="M576">
        <v>1</v>
      </c>
      <c r="N576">
        <v>0</v>
      </c>
      <c r="O576" s="1" t="s">
        <v>40</v>
      </c>
      <c r="P576">
        <v>1</v>
      </c>
      <c r="Q576">
        <v>1</v>
      </c>
      <c r="R576">
        <v>0</v>
      </c>
      <c r="S576">
        <v>12</v>
      </c>
      <c r="T576">
        <v>0</v>
      </c>
      <c r="U576">
        <v>1</v>
      </c>
      <c r="V576">
        <v>9.24</v>
      </c>
    </row>
    <row r="577" spans="1:22">
      <c r="A577" s="1" t="s">
        <v>623</v>
      </c>
      <c r="B577" s="1" t="s">
        <v>59</v>
      </c>
      <c r="C577" s="2">
        <v>46277</v>
      </c>
      <c r="D577" s="3">
        <v>0.85416666666666663</v>
      </c>
      <c r="E577">
        <v>144</v>
      </c>
      <c r="F577">
        <v>144</v>
      </c>
      <c r="G577">
        <v>6</v>
      </c>
      <c r="H577" s="1" t="s">
        <v>60</v>
      </c>
      <c r="I577">
        <v>24.8</v>
      </c>
      <c r="J577">
        <v>28</v>
      </c>
      <c r="K577" s="1" t="s">
        <v>61</v>
      </c>
      <c r="L577" s="1" t="s">
        <v>32</v>
      </c>
      <c r="M577">
        <v>1</v>
      </c>
      <c r="N577">
        <v>0</v>
      </c>
      <c r="O577" s="1" t="s">
        <v>40</v>
      </c>
      <c r="P577">
        <v>1</v>
      </c>
      <c r="Q577">
        <v>1</v>
      </c>
      <c r="R577">
        <v>14</v>
      </c>
      <c r="S577">
        <v>20</v>
      </c>
      <c r="T577">
        <v>0</v>
      </c>
      <c r="U577">
        <v>1</v>
      </c>
      <c r="V577">
        <v>5.81</v>
      </c>
    </row>
    <row r="578" spans="1:22">
      <c r="A578" s="1" t="s">
        <v>624</v>
      </c>
      <c r="B578" s="1" t="s">
        <v>59</v>
      </c>
      <c r="C578" s="2">
        <v>46284</v>
      </c>
      <c r="D578" s="3">
        <v>0.40625</v>
      </c>
      <c r="E578">
        <v>138</v>
      </c>
      <c r="F578">
        <v>139</v>
      </c>
      <c r="G578">
        <v>5</v>
      </c>
      <c r="H578" s="1" t="s">
        <v>60</v>
      </c>
      <c r="I578">
        <v>24.8</v>
      </c>
      <c r="J578">
        <v>28</v>
      </c>
      <c r="K578" s="1" t="s">
        <v>61</v>
      </c>
      <c r="L578" s="1" t="s">
        <v>32</v>
      </c>
      <c r="M578">
        <v>1</v>
      </c>
      <c r="N578">
        <v>1</v>
      </c>
      <c r="O578" s="1" t="s">
        <v>27</v>
      </c>
      <c r="P578">
        <v>1</v>
      </c>
      <c r="Q578">
        <v>1</v>
      </c>
      <c r="R578">
        <v>8</v>
      </c>
      <c r="S578">
        <v>9</v>
      </c>
      <c r="T578">
        <v>1</v>
      </c>
      <c r="U578">
        <v>0</v>
      </c>
      <c r="V578">
        <v>5.56</v>
      </c>
    </row>
    <row r="579" spans="1:22">
      <c r="A579" s="1" t="s">
        <v>625</v>
      </c>
      <c r="B579" s="1" t="s">
        <v>59</v>
      </c>
      <c r="C579" s="2">
        <v>46295</v>
      </c>
      <c r="D579" s="3">
        <v>0.42708333333333331</v>
      </c>
      <c r="E579">
        <v>219</v>
      </c>
      <c r="F579">
        <v>218</v>
      </c>
      <c r="G579">
        <v>6</v>
      </c>
      <c r="H579" s="1" t="s">
        <v>60</v>
      </c>
      <c r="I579">
        <v>24.8</v>
      </c>
      <c r="J579">
        <v>28</v>
      </c>
      <c r="K579" s="1" t="s">
        <v>61</v>
      </c>
      <c r="L579" s="1" t="s">
        <v>69</v>
      </c>
      <c r="M579">
        <v>0</v>
      </c>
      <c r="N579">
        <v>0</v>
      </c>
      <c r="O579" s="1" t="s">
        <v>27</v>
      </c>
      <c r="P579">
        <v>1</v>
      </c>
      <c r="Q579">
        <v>1</v>
      </c>
      <c r="R579">
        <v>9</v>
      </c>
      <c r="S579">
        <v>10</v>
      </c>
      <c r="T579">
        <v>1</v>
      </c>
      <c r="U579">
        <v>0</v>
      </c>
      <c r="V579">
        <v>8.83</v>
      </c>
    </row>
    <row r="580" spans="1:22">
      <c r="A580" s="1" t="s">
        <v>626</v>
      </c>
      <c r="B580" s="1" t="s">
        <v>29</v>
      </c>
      <c r="C580" s="2">
        <v>46271</v>
      </c>
      <c r="D580" s="3">
        <v>0.57291666666666663</v>
      </c>
      <c r="E580">
        <v>64</v>
      </c>
      <c r="F580">
        <v>54</v>
      </c>
      <c r="G580">
        <v>6</v>
      </c>
      <c r="H580" s="1" t="s">
        <v>30</v>
      </c>
      <c r="I580">
        <v>32</v>
      </c>
      <c r="J580">
        <v>14</v>
      </c>
      <c r="K580" s="1" t="s">
        <v>31</v>
      </c>
      <c r="L580" s="1" t="s">
        <v>38</v>
      </c>
      <c r="M580">
        <v>1</v>
      </c>
      <c r="N580">
        <v>0</v>
      </c>
      <c r="O580" s="1" t="s">
        <v>27</v>
      </c>
      <c r="P580">
        <v>1</v>
      </c>
      <c r="Q580">
        <v>1</v>
      </c>
      <c r="R580">
        <v>2</v>
      </c>
      <c r="S580">
        <v>13</v>
      </c>
      <c r="T580">
        <v>0</v>
      </c>
      <c r="U580">
        <v>0</v>
      </c>
      <c r="V580">
        <v>2</v>
      </c>
    </row>
    <row r="581" spans="1:22">
      <c r="A581" s="1" t="s">
        <v>627</v>
      </c>
      <c r="B581" s="1" t="s">
        <v>34</v>
      </c>
      <c r="C581" s="2">
        <v>46267</v>
      </c>
      <c r="D581" s="3">
        <v>0.63541666666666663</v>
      </c>
      <c r="E581">
        <v>171</v>
      </c>
      <c r="F581">
        <v>167</v>
      </c>
      <c r="G581">
        <v>5</v>
      </c>
      <c r="H581" s="1" t="s">
        <v>35</v>
      </c>
      <c r="I581">
        <v>12.2</v>
      </c>
      <c r="J581">
        <v>18</v>
      </c>
      <c r="K581" s="1" t="s">
        <v>36</v>
      </c>
      <c r="L581" s="1" t="s">
        <v>69</v>
      </c>
      <c r="M581">
        <v>0</v>
      </c>
      <c r="N581">
        <v>0</v>
      </c>
      <c r="O581" s="1" t="s">
        <v>27</v>
      </c>
      <c r="P581">
        <v>1</v>
      </c>
      <c r="Q581">
        <v>1</v>
      </c>
      <c r="R581">
        <v>26</v>
      </c>
      <c r="S581">
        <v>15</v>
      </c>
      <c r="T581">
        <v>0</v>
      </c>
      <c r="U581">
        <v>0</v>
      </c>
      <c r="V581">
        <v>14.02</v>
      </c>
    </row>
    <row r="582" spans="1:22">
      <c r="A582" s="1" t="s">
        <v>628</v>
      </c>
      <c r="B582" s="1" t="s">
        <v>29</v>
      </c>
      <c r="C582" s="2">
        <v>46277</v>
      </c>
      <c r="D582" s="3">
        <v>0.83333333333333337</v>
      </c>
      <c r="E582">
        <v>115</v>
      </c>
      <c r="F582">
        <v>112</v>
      </c>
      <c r="G582">
        <v>6</v>
      </c>
      <c r="H582" s="1" t="s">
        <v>30</v>
      </c>
      <c r="I582">
        <v>32</v>
      </c>
      <c r="J582">
        <v>14</v>
      </c>
      <c r="K582" s="1" t="s">
        <v>31</v>
      </c>
      <c r="L582" s="1" t="s">
        <v>32</v>
      </c>
      <c r="M582">
        <v>1</v>
      </c>
      <c r="N582">
        <v>0</v>
      </c>
      <c r="O582" s="1" t="s">
        <v>40</v>
      </c>
      <c r="P582">
        <v>1</v>
      </c>
      <c r="Q582">
        <v>1</v>
      </c>
      <c r="R582">
        <v>3</v>
      </c>
      <c r="S582">
        <v>20</v>
      </c>
      <c r="T582">
        <v>0</v>
      </c>
      <c r="U582">
        <v>1</v>
      </c>
      <c r="V582">
        <v>3.59</v>
      </c>
    </row>
    <row r="583" spans="1:22">
      <c r="A583" s="1" t="s">
        <v>629</v>
      </c>
      <c r="B583" s="1" t="s">
        <v>45</v>
      </c>
      <c r="C583" s="2">
        <v>46284</v>
      </c>
      <c r="D583" s="3">
        <v>0.72916666666666663</v>
      </c>
      <c r="E583">
        <v>180</v>
      </c>
      <c r="F583">
        <v>168</v>
      </c>
      <c r="G583">
        <v>4</v>
      </c>
      <c r="H583" s="1" t="s">
        <v>46</v>
      </c>
      <c r="I583">
        <v>18.5</v>
      </c>
      <c r="J583">
        <v>22</v>
      </c>
      <c r="K583" s="1" t="s">
        <v>47</v>
      </c>
      <c r="L583" s="1" t="s">
        <v>32</v>
      </c>
      <c r="M583">
        <v>1</v>
      </c>
      <c r="N583">
        <v>1</v>
      </c>
      <c r="O583" s="1" t="s">
        <v>27</v>
      </c>
      <c r="P583">
        <v>1</v>
      </c>
      <c r="Q583">
        <v>1</v>
      </c>
      <c r="R583">
        <v>2</v>
      </c>
      <c r="S583">
        <v>17</v>
      </c>
      <c r="T583">
        <v>1</v>
      </c>
      <c r="U583">
        <v>0</v>
      </c>
      <c r="V583">
        <v>9.73</v>
      </c>
    </row>
    <row r="584" spans="1:22">
      <c r="A584" s="1" t="s">
        <v>630</v>
      </c>
      <c r="B584" s="1" t="s">
        <v>45</v>
      </c>
      <c r="C584" s="2">
        <v>46270</v>
      </c>
      <c r="D584" s="3">
        <v>0.71875</v>
      </c>
      <c r="E584">
        <v>29</v>
      </c>
      <c r="F584">
        <v>27</v>
      </c>
      <c r="G584">
        <v>2</v>
      </c>
      <c r="H584" s="1" t="s">
        <v>46</v>
      </c>
      <c r="I584">
        <v>18.5</v>
      </c>
      <c r="J584">
        <v>22</v>
      </c>
      <c r="K584" s="1" t="s">
        <v>47</v>
      </c>
      <c r="L584" s="1" t="s">
        <v>32</v>
      </c>
      <c r="M584">
        <v>1</v>
      </c>
      <c r="N584">
        <v>1</v>
      </c>
      <c r="O584" s="1" t="s">
        <v>27</v>
      </c>
      <c r="P584">
        <v>1</v>
      </c>
      <c r="Q584">
        <v>1</v>
      </c>
      <c r="R584">
        <v>4</v>
      </c>
      <c r="S584">
        <v>17</v>
      </c>
      <c r="T584">
        <v>1</v>
      </c>
      <c r="U584">
        <v>0</v>
      </c>
      <c r="V584">
        <v>1.57</v>
      </c>
    </row>
    <row r="585" spans="1:22">
      <c r="A585" s="1" t="s">
        <v>631</v>
      </c>
      <c r="B585" s="1" t="s">
        <v>34</v>
      </c>
      <c r="C585" s="2">
        <v>46277</v>
      </c>
      <c r="D585" s="3">
        <v>0.36458333333333331</v>
      </c>
      <c r="E585">
        <v>120</v>
      </c>
      <c r="F585">
        <v>113</v>
      </c>
      <c r="G585">
        <v>5</v>
      </c>
      <c r="H585" s="1" t="s">
        <v>35</v>
      </c>
      <c r="I585">
        <v>12.2</v>
      </c>
      <c r="J585">
        <v>18</v>
      </c>
      <c r="K585" s="1" t="s">
        <v>36</v>
      </c>
      <c r="L585" s="1" t="s">
        <v>32</v>
      </c>
      <c r="M585">
        <v>1</v>
      </c>
      <c r="N585">
        <v>0</v>
      </c>
      <c r="O585" s="1" t="s">
        <v>40</v>
      </c>
      <c r="P585">
        <v>1</v>
      </c>
      <c r="Q585">
        <v>1</v>
      </c>
      <c r="R585">
        <v>7</v>
      </c>
      <c r="S585">
        <v>8</v>
      </c>
      <c r="T585">
        <v>1</v>
      </c>
      <c r="U585">
        <v>1</v>
      </c>
      <c r="V585">
        <v>9.84</v>
      </c>
    </row>
    <row r="586" spans="1:22">
      <c r="A586" s="1" t="s">
        <v>632</v>
      </c>
      <c r="B586" s="1" t="s">
        <v>23</v>
      </c>
      <c r="C586" s="2">
        <v>46292</v>
      </c>
      <c r="D586" s="3">
        <v>0.42708333333333331</v>
      </c>
      <c r="E586">
        <v>94</v>
      </c>
      <c r="F586">
        <v>97</v>
      </c>
      <c r="G586">
        <v>5</v>
      </c>
      <c r="H586" s="1" t="s">
        <v>24</v>
      </c>
      <c r="I586">
        <v>15</v>
      </c>
      <c r="J586">
        <v>16</v>
      </c>
      <c r="K586" s="1" t="s">
        <v>25</v>
      </c>
      <c r="L586" s="1" t="s">
        <v>38</v>
      </c>
      <c r="M586">
        <v>1</v>
      </c>
      <c r="N586">
        <v>0</v>
      </c>
      <c r="O586" s="1" t="s">
        <v>134</v>
      </c>
      <c r="P586">
        <v>1</v>
      </c>
      <c r="Q586">
        <v>1</v>
      </c>
      <c r="R586">
        <v>13</v>
      </c>
      <c r="S586">
        <v>10</v>
      </c>
      <c r="T586">
        <v>1</v>
      </c>
      <c r="U586">
        <v>1</v>
      </c>
      <c r="V586">
        <v>6.27</v>
      </c>
    </row>
    <row r="587" spans="1:22">
      <c r="A587" s="1" t="s">
        <v>633</v>
      </c>
      <c r="B587" s="1" t="s">
        <v>29</v>
      </c>
      <c r="C587" s="2">
        <v>46292</v>
      </c>
      <c r="D587" s="3">
        <v>0.375</v>
      </c>
      <c r="E587">
        <v>44</v>
      </c>
      <c r="F587">
        <v>46</v>
      </c>
      <c r="G587">
        <v>5</v>
      </c>
      <c r="H587" s="1" t="s">
        <v>30</v>
      </c>
      <c r="I587">
        <v>32</v>
      </c>
      <c r="J587">
        <v>14</v>
      </c>
      <c r="K587" s="1" t="s">
        <v>31</v>
      </c>
      <c r="L587" s="1" t="s">
        <v>38</v>
      </c>
      <c r="M587">
        <v>1</v>
      </c>
      <c r="N587">
        <v>0</v>
      </c>
      <c r="O587" s="1" t="s">
        <v>134</v>
      </c>
      <c r="P587">
        <v>1</v>
      </c>
      <c r="Q587">
        <v>1</v>
      </c>
      <c r="R587">
        <v>2</v>
      </c>
      <c r="S587">
        <v>9</v>
      </c>
      <c r="T587">
        <v>1</v>
      </c>
      <c r="U587">
        <v>1</v>
      </c>
      <c r="V587">
        <v>1.38</v>
      </c>
    </row>
    <row r="588" spans="1:22">
      <c r="A588" s="1" t="s">
        <v>634</v>
      </c>
      <c r="B588" s="1" t="s">
        <v>45</v>
      </c>
      <c r="C588" s="2">
        <v>46282</v>
      </c>
      <c r="D588" s="3">
        <v>0.29166666666666669</v>
      </c>
      <c r="E588">
        <v>143</v>
      </c>
      <c r="F588">
        <v>143</v>
      </c>
      <c r="G588">
        <v>6</v>
      </c>
      <c r="H588" s="1" t="s">
        <v>46</v>
      </c>
      <c r="I588">
        <v>18.5</v>
      </c>
      <c r="J588">
        <v>22</v>
      </c>
      <c r="K588" s="1" t="s">
        <v>47</v>
      </c>
      <c r="L588" s="1" t="s">
        <v>56</v>
      </c>
      <c r="M588">
        <v>0</v>
      </c>
      <c r="N588">
        <v>0</v>
      </c>
      <c r="O588" s="1" t="s">
        <v>27</v>
      </c>
      <c r="P588">
        <v>1</v>
      </c>
      <c r="Q588">
        <v>1</v>
      </c>
      <c r="R588">
        <v>8</v>
      </c>
      <c r="S588">
        <v>7</v>
      </c>
      <c r="T588">
        <v>0</v>
      </c>
      <c r="U588">
        <v>0</v>
      </c>
      <c r="V588">
        <v>7.73</v>
      </c>
    </row>
    <row r="589" spans="1:22">
      <c r="A589" s="1" t="s">
        <v>635</v>
      </c>
      <c r="B589" s="1" t="s">
        <v>59</v>
      </c>
      <c r="C589" s="2">
        <v>46294</v>
      </c>
      <c r="D589" s="3">
        <v>0.33333333333333331</v>
      </c>
      <c r="E589">
        <v>100</v>
      </c>
      <c r="F589">
        <v>97</v>
      </c>
      <c r="G589">
        <v>3</v>
      </c>
      <c r="H589" s="1" t="s">
        <v>60</v>
      </c>
      <c r="I589">
        <v>24.8</v>
      </c>
      <c r="J589">
        <v>28</v>
      </c>
      <c r="K589" s="1" t="s">
        <v>61</v>
      </c>
      <c r="L589" s="1" t="s">
        <v>26</v>
      </c>
      <c r="M589">
        <v>0</v>
      </c>
      <c r="N589">
        <v>0</v>
      </c>
      <c r="O589" s="1" t="s">
        <v>27</v>
      </c>
      <c r="P589">
        <v>1</v>
      </c>
      <c r="Q589">
        <v>1</v>
      </c>
      <c r="R589">
        <v>0</v>
      </c>
      <c r="S589">
        <v>8</v>
      </c>
      <c r="T589">
        <v>1</v>
      </c>
      <c r="U589">
        <v>0</v>
      </c>
      <c r="V589">
        <v>4.03</v>
      </c>
    </row>
    <row r="590" spans="1:22">
      <c r="A590" s="1" t="s">
        <v>636</v>
      </c>
      <c r="B590" s="1" t="s">
        <v>59</v>
      </c>
      <c r="C590" s="2">
        <v>46282</v>
      </c>
      <c r="D590" s="3">
        <v>0.26041666666666669</v>
      </c>
      <c r="E590">
        <v>91</v>
      </c>
      <c r="F590">
        <v>95</v>
      </c>
      <c r="G590">
        <v>6</v>
      </c>
      <c r="H590" s="1" t="s">
        <v>60</v>
      </c>
      <c r="I590">
        <v>24.8</v>
      </c>
      <c r="J590">
        <v>28</v>
      </c>
      <c r="K590" s="1" t="s">
        <v>61</v>
      </c>
      <c r="L590" s="1" t="s">
        <v>56</v>
      </c>
      <c r="M590">
        <v>0</v>
      </c>
      <c r="N590">
        <v>0</v>
      </c>
      <c r="O590" s="1" t="s">
        <v>27</v>
      </c>
      <c r="P590">
        <v>1</v>
      </c>
      <c r="Q590">
        <v>1</v>
      </c>
      <c r="R590">
        <v>0</v>
      </c>
      <c r="S590">
        <v>6</v>
      </c>
      <c r="T590">
        <v>0</v>
      </c>
      <c r="U590">
        <v>0</v>
      </c>
      <c r="V590">
        <v>3.67</v>
      </c>
    </row>
    <row r="591" spans="1:22">
      <c r="A591" s="1" t="s">
        <v>637</v>
      </c>
      <c r="B591" s="1" t="s">
        <v>34</v>
      </c>
      <c r="C591" s="2">
        <v>46275</v>
      </c>
      <c r="D591" s="3">
        <v>0.39583333333333331</v>
      </c>
      <c r="E591">
        <v>153</v>
      </c>
      <c r="F591">
        <v>162</v>
      </c>
      <c r="G591">
        <v>7</v>
      </c>
      <c r="H591" s="1" t="s">
        <v>35</v>
      </c>
      <c r="I591">
        <v>12.2</v>
      </c>
      <c r="J591">
        <v>18</v>
      </c>
      <c r="K591" s="1" t="s">
        <v>36</v>
      </c>
      <c r="L591" s="1" t="s">
        <v>56</v>
      </c>
      <c r="M591">
        <v>0</v>
      </c>
      <c r="N591">
        <v>0</v>
      </c>
      <c r="O591" s="1" t="s">
        <v>27</v>
      </c>
      <c r="P591">
        <v>1</v>
      </c>
      <c r="Q591">
        <v>1</v>
      </c>
      <c r="R591">
        <v>14</v>
      </c>
      <c r="S591">
        <v>9</v>
      </c>
      <c r="T591">
        <v>1</v>
      </c>
      <c r="U591">
        <v>0</v>
      </c>
      <c r="V591">
        <v>12.54</v>
      </c>
    </row>
    <row r="592" spans="1:22">
      <c r="A592" s="1" t="s">
        <v>638</v>
      </c>
      <c r="B592" s="1" t="s">
        <v>23</v>
      </c>
      <c r="C592" s="2">
        <v>46290</v>
      </c>
      <c r="D592" s="3">
        <v>0.57291666666666663</v>
      </c>
      <c r="E592">
        <v>80</v>
      </c>
      <c r="F592">
        <v>78</v>
      </c>
      <c r="G592">
        <v>3</v>
      </c>
      <c r="H592" s="1" t="s">
        <v>24</v>
      </c>
      <c r="I592">
        <v>15</v>
      </c>
      <c r="J592">
        <v>16</v>
      </c>
      <c r="K592" s="1" t="s">
        <v>25</v>
      </c>
      <c r="L592" s="1" t="s">
        <v>49</v>
      </c>
      <c r="M592">
        <v>0</v>
      </c>
      <c r="N592">
        <v>0</v>
      </c>
      <c r="O592" s="1" t="s">
        <v>27</v>
      </c>
      <c r="P592">
        <v>1</v>
      </c>
      <c r="Q592">
        <v>1</v>
      </c>
      <c r="R592">
        <v>9</v>
      </c>
      <c r="S592">
        <v>13</v>
      </c>
      <c r="T592">
        <v>0</v>
      </c>
      <c r="U592">
        <v>0</v>
      </c>
      <c r="V592">
        <v>5.33</v>
      </c>
    </row>
    <row r="593" spans="1:22">
      <c r="A593" s="1" t="s">
        <v>639</v>
      </c>
      <c r="B593" s="1" t="s">
        <v>45</v>
      </c>
      <c r="C593" s="2">
        <v>46288</v>
      </c>
      <c r="D593" s="3">
        <v>0.42708333333333331</v>
      </c>
      <c r="E593">
        <v>159</v>
      </c>
      <c r="F593">
        <v>153</v>
      </c>
      <c r="G593">
        <v>6</v>
      </c>
      <c r="H593" s="1" t="s">
        <v>46</v>
      </c>
      <c r="I593">
        <v>18.5</v>
      </c>
      <c r="J593">
        <v>22</v>
      </c>
      <c r="K593" s="1" t="s">
        <v>47</v>
      </c>
      <c r="L593" s="1" t="s">
        <v>69</v>
      </c>
      <c r="M593">
        <v>0</v>
      </c>
      <c r="N593">
        <v>0</v>
      </c>
      <c r="O593" s="1" t="s">
        <v>27</v>
      </c>
      <c r="P593">
        <v>1</v>
      </c>
      <c r="Q593">
        <v>1</v>
      </c>
      <c r="R593">
        <v>11</v>
      </c>
      <c r="S593">
        <v>10</v>
      </c>
      <c r="T593">
        <v>1</v>
      </c>
      <c r="U593">
        <v>0</v>
      </c>
      <c r="V593">
        <v>8.59</v>
      </c>
    </row>
    <row r="594" spans="1:22">
      <c r="A594" s="1" t="s">
        <v>640</v>
      </c>
      <c r="B594" s="1" t="s">
        <v>45</v>
      </c>
      <c r="C594" s="2">
        <v>46282</v>
      </c>
      <c r="D594" s="3">
        <v>0.4375</v>
      </c>
      <c r="E594">
        <v>105</v>
      </c>
      <c r="F594">
        <v>106</v>
      </c>
      <c r="G594">
        <v>4</v>
      </c>
      <c r="H594" s="1" t="s">
        <v>46</v>
      </c>
      <c r="I594">
        <v>18.5</v>
      </c>
      <c r="J594">
        <v>22</v>
      </c>
      <c r="K594" s="1" t="s">
        <v>47</v>
      </c>
      <c r="L594" s="1" t="s">
        <v>56</v>
      </c>
      <c r="M594">
        <v>0</v>
      </c>
      <c r="N594">
        <v>0</v>
      </c>
      <c r="O594" s="1" t="s">
        <v>27</v>
      </c>
      <c r="P594">
        <v>1</v>
      </c>
      <c r="Q594">
        <v>1</v>
      </c>
      <c r="R594">
        <v>0</v>
      </c>
      <c r="S594">
        <v>10</v>
      </c>
      <c r="T594">
        <v>1</v>
      </c>
      <c r="U594">
        <v>0</v>
      </c>
      <c r="V594">
        <v>5.68</v>
      </c>
    </row>
    <row r="595" spans="1:22">
      <c r="A595" s="1" t="s">
        <v>641</v>
      </c>
      <c r="B595" s="1" t="s">
        <v>59</v>
      </c>
      <c r="C595" s="2">
        <v>46280</v>
      </c>
      <c r="D595" s="3">
        <v>0.66666666666666663</v>
      </c>
      <c r="E595">
        <v>157</v>
      </c>
      <c r="F595">
        <v>161</v>
      </c>
      <c r="G595">
        <v>6</v>
      </c>
      <c r="H595" s="1" t="s">
        <v>60</v>
      </c>
      <c r="I595">
        <v>24.8</v>
      </c>
      <c r="J595">
        <v>28</v>
      </c>
      <c r="K595" s="1" t="s">
        <v>61</v>
      </c>
      <c r="L595" s="1" t="s">
        <v>26</v>
      </c>
      <c r="M595">
        <v>0</v>
      </c>
      <c r="N595">
        <v>0</v>
      </c>
      <c r="O595" s="1" t="s">
        <v>27</v>
      </c>
      <c r="P595">
        <v>1</v>
      </c>
      <c r="Q595">
        <v>1</v>
      </c>
      <c r="R595">
        <v>6</v>
      </c>
      <c r="S595">
        <v>16</v>
      </c>
      <c r="T595">
        <v>0</v>
      </c>
      <c r="U595">
        <v>0</v>
      </c>
      <c r="V595">
        <v>6.33</v>
      </c>
    </row>
    <row r="596" spans="1:22">
      <c r="A596" s="1" t="s">
        <v>642</v>
      </c>
      <c r="B596" s="1" t="s">
        <v>34</v>
      </c>
      <c r="C596" s="2">
        <v>46277</v>
      </c>
      <c r="D596" s="3">
        <v>0.63541666666666663</v>
      </c>
      <c r="E596">
        <v>120</v>
      </c>
      <c r="F596">
        <v>121</v>
      </c>
      <c r="G596">
        <v>6</v>
      </c>
      <c r="H596" s="1" t="s">
        <v>35</v>
      </c>
      <c r="I596">
        <v>12.2</v>
      </c>
      <c r="J596">
        <v>18</v>
      </c>
      <c r="K596" s="1" t="s">
        <v>36</v>
      </c>
      <c r="L596" s="1" t="s">
        <v>32</v>
      </c>
      <c r="M596">
        <v>1</v>
      </c>
      <c r="N596">
        <v>0</v>
      </c>
      <c r="O596" s="1" t="s">
        <v>40</v>
      </c>
      <c r="P596">
        <v>1</v>
      </c>
      <c r="Q596">
        <v>1</v>
      </c>
      <c r="R596">
        <v>4</v>
      </c>
      <c r="S596">
        <v>15</v>
      </c>
      <c r="T596">
        <v>0</v>
      </c>
      <c r="U596">
        <v>1</v>
      </c>
      <c r="V596">
        <v>9.84</v>
      </c>
    </row>
    <row r="597" spans="1:22">
      <c r="A597" s="1" t="s">
        <v>643</v>
      </c>
      <c r="B597" s="1" t="s">
        <v>29</v>
      </c>
      <c r="C597" s="2">
        <v>46295</v>
      </c>
      <c r="D597" s="3">
        <v>0.82291666666666663</v>
      </c>
      <c r="E597">
        <v>105</v>
      </c>
      <c r="F597">
        <v>93</v>
      </c>
      <c r="G597">
        <v>6</v>
      </c>
      <c r="H597" s="1" t="s">
        <v>30</v>
      </c>
      <c r="I597">
        <v>32</v>
      </c>
      <c r="J597">
        <v>14</v>
      </c>
      <c r="K597" s="1" t="s">
        <v>31</v>
      </c>
      <c r="L597" s="1" t="s">
        <v>69</v>
      </c>
      <c r="M597">
        <v>0</v>
      </c>
      <c r="N597">
        <v>0</v>
      </c>
      <c r="O597" s="1" t="s">
        <v>27</v>
      </c>
      <c r="P597">
        <v>1</v>
      </c>
      <c r="Q597">
        <v>1</v>
      </c>
      <c r="R597">
        <v>3</v>
      </c>
      <c r="S597">
        <v>19</v>
      </c>
      <c r="T597">
        <v>1</v>
      </c>
      <c r="U597">
        <v>0</v>
      </c>
      <c r="V597">
        <v>3.28</v>
      </c>
    </row>
    <row r="598" spans="1:22">
      <c r="A598" s="1" t="s">
        <v>644</v>
      </c>
      <c r="B598" s="1" t="s">
        <v>45</v>
      </c>
      <c r="C598" s="2">
        <v>46281</v>
      </c>
      <c r="D598" s="3">
        <v>0.66666666666666663</v>
      </c>
      <c r="E598">
        <v>96</v>
      </c>
      <c r="F598">
        <v>89</v>
      </c>
      <c r="G598">
        <v>5</v>
      </c>
      <c r="H598" s="1" t="s">
        <v>46</v>
      </c>
      <c r="I598">
        <v>18.5</v>
      </c>
      <c r="J598">
        <v>22</v>
      </c>
      <c r="K598" s="1" t="s">
        <v>47</v>
      </c>
      <c r="L598" s="1" t="s">
        <v>69</v>
      </c>
      <c r="M598">
        <v>0</v>
      </c>
      <c r="N598">
        <v>0</v>
      </c>
      <c r="O598" s="1" t="s">
        <v>27</v>
      </c>
      <c r="P598">
        <v>1</v>
      </c>
      <c r="Q598">
        <v>1</v>
      </c>
      <c r="R598">
        <v>1</v>
      </c>
      <c r="S598">
        <v>16</v>
      </c>
      <c r="T598">
        <v>0</v>
      </c>
      <c r="U598">
        <v>0</v>
      </c>
      <c r="V598">
        <v>5.19</v>
      </c>
    </row>
    <row r="599" spans="1:22">
      <c r="A599" s="1" t="s">
        <v>645</v>
      </c>
      <c r="B599" s="1" t="s">
        <v>29</v>
      </c>
      <c r="C599" s="2">
        <v>46289</v>
      </c>
      <c r="D599" s="3">
        <v>0.26041666666666669</v>
      </c>
      <c r="E599">
        <v>99</v>
      </c>
      <c r="F599">
        <v>92</v>
      </c>
      <c r="G599">
        <v>4</v>
      </c>
      <c r="H599" s="1" t="s">
        <v>30</v>
      </c>
      <c r="I599">
        <v>32</v>
      </c>
      <c r="J599">
        <v>14</v>
      </c>
      <c r="K599" s="1" t="s">
        <v>31</v>
      </c>
      <c r="L599" s="1" t="s">
        <v>56</v>
      </c>
      <c r="M599">
        <v>0</v>
      </c>
      <c r="N599">
        <v>0</v>
      </c>
      <c r="O599" s="1" t="s">
        <v>27</v>
      </c>
      <c r="P599">
        <v>1</v>
      </c>
      <c r="Q599">
        <v>1</v>
      </c>
      <c r="R599">
        <v>9</v>
      </c>
      <c r="S599">
        <v>6</v>
      </c>
      <c r="T599">
        <v>0</v>
      </c>
      <c r="U599">
        <v>0</v>
      </c>
      <c r="V599">
        <v>3.09</v>
      </c>
    </row>
    <row r="600" spans="1:22">
      <c r="A600" s="1" t="s">
        <v>646</v>
      </c>
      <c r="B600" s="1" t="s">
        <v>23</v>
      </c>
      <c r="C600" s="2">
        <v>46284</v>
      </c>
      <c r="D600" s="3">
        <v>0.32291666666666669</v>
      </c>
      <c r="E600">
        <v>169</v>
      </c>
      <c r="F600">
        <v>165</v>
      </c>
      <c r="G600">
        <v>6</v>
      </c>
      <c r="H600" s="1" t="s">
        <v>24</v>
      </c>
      <c r="I600">
        <v>15</v>
      </c>
      <c r="J600">
        <v>16</v>
      </c>
      <c r="K600" s="1" t="s">
        <v>25</v>
      </c>
      <c r="L600" s="1" t="s">
        <v>32</v>
      </c>
      <c r="M600">
        <v>1</v>
      </c>
      <c r="N600">
        <v>1</v>
      </c>
      <c r="O600" s="1" t="s">
        <v>27</v>
      </c>
      <c r="P600">
        <v>1</v>
      </c>
      <c r="Q600">
        <v>1</v>
      </c>
      <c r="R600">
        <v>9</v>
      </c>
      <c r="S600">
        <v>7</v>
      </c>
      <c r="T600">
        <v>0</v>
      </c>
      <c r="U600">
        <v>0</v>
      </c>
      <c r="V600">
        <v>11.27</v>
      </c>
    </row>
    <row r="601" spans="1:22">
      <c r="A601" s="1" t="s">
        <v>647</v>
      </c>
      <c r="B601" s="1" t="s">
        <v>45</v>
      </c>
      <c r="C601" s="2">
        <v>46273</v>
      </c>
      <c r="D601" s="3">
        <v>0.83333333333333337</v>
      </c>
      <c r="E601">
        <v>218</v>
      </c>
      <c r="F601">
        <v>201</v>
      </c>
      <c r="G601">
        <v>6</v>
      </c>
      <c r="H601" s="1" t="s">
        <v>46</v>
      </c>
      <c r="I601">
        <v>18.5</v>
      </c>
      <c r="J601">
        <v>22</v>
      </c>
      <c r="K601" s="1" t="s">
        <v>47</v>
      </c>
      <c r="L601" s="1" t="s">
        <v>26</v>
      </c>
      <c r="M601">
        <v>0</v>
      </c>
      <c r="N601">
        <v>0</v>
      </c>
      <c r="O601" s="1" t="s">
        <v>27</v>
      </c>
      <c r="P601">
        <v>1</v>
      </c>
      <c r="Q601">
        <v>1</v>
      </c>
      <c r="R601">
        <v>1</v>
      </c>
      <c r="S601">
        <v>20</v>
      </c>
      <c r="T601">
        <v>0</v>
      </c>
      <c r="U601">
        <v>0</v>
      </c>
      <c r="V601">
        <v>11.78</v>
      </c>
    </row>
    <row r="602" spans="1:22">
      <c r="A602" s="1" t="s">
        <v>648</v>
      </c>
      <c r="B602" s="1" t="s">
        <v>45</v>
      </c>
      <c r="C602" s="2">
        <v>46286</v>
      </c>
      <c r="D602" s="3">
        <v>0.20833333333333334</v>
      </c>
      <c r="E602">
        <v>79</v>
      </c>
      <c r="F602">
        <v>74</v>
      </c>
      <c r="G602">
        <v>3</v>
      </c>
      <c r="H602" s="1" t="s">
        <v>46</v>
      </c>
      <c r="I602">
        <v>18.5</v>
      </c>
      <c r="J602">
        <v>22</v>
      </c>
      <c r="K602" s="1" t="s">
        <v>47</v>
      </c>
      <c r="L602" s="1" t="s">
        <v>65</v>
      </c>
      <c r="M602">
        <v>0</v>
      </c>
      <c r="N602">
        <v>0</v>
      </c>
      <c r="O602" s="1" t="s">
        <v>27</v>
      </c>
      <c r="P602">
        <v>1</v>
      </c>
      <c r="Q602">
        <v>1</v>
      </c>
      <c r="R602">
        <v>0</v>
      </c>
      <c r="S602">
        <v>5</v>
      </c>
      <c r="T602">
        <v>0</v>
      </c>
      <c r="U602">
        <v>0</v>
      </c>
      <c r="V602">
        <v>4.2699999999999996</v>
      </c>
    </row>
    <row r="603" spans="1:22">
      <c r="A603" s="1" t="s">
        <v>649</v>
      </c>
      <c r="B603" s="1" t="s">
        <v>29</v>
      </c>
      <c r="C603" s="2">
        <v>46282</v>
      </c>
      <c r="D603" s="3">
        <v>0.32291666666666669</v>
      </c>
      <c r="E603">
        <v>132</v>
      </c>
      <c r="F603">
        <v>126</v>
      </c>
      <c r="G603">
        <v>4</v>
      </c>
      <c r="H603" s="1" t="s">
        <v>30</v>
      </c>
      <c r="I603">
        <v>32</v>
      </c>
      <c r="J603">
        <v>14</v>
      </c>
      <c r="K603" s="1" t="s">
        <v>31</v>
      </c>
      <c r="L603" s="1" t="s">
        <v>56</v>
      </c>
      <c r="M603">
        <v>0</v>
      </c>
      <c r="N603">
        <v>0</v>
      </c>
      <c r="O603" s="1" t="s">
        <v>27</v>
      </c>
      <c r="P603">
        <v>1</v>
      </c>
      <c r="Q603">
        <v>1</v>
      </c>
      <c r="R603">
        <v>4</v>
      </c>
      <c r="S603">
        <v>7</v>
      </c>
      <c r="T603">
        <v>0</v>
      </c>
      <c r="U603">
        <v>0</v>
      </c>
      <c r="V603">
        <v>4.12</v>
      </c>
    </row>
    <row r="604" spans="1:22">
      <c r="A604" s="1" t="s">
        <v>650</v>
      </c>
      <c r="B604" s="1" t="s">
        <v>45</v>
      </c>
      <c r="C604" s="2">
        <v>46288</v>
      </c>
      <c r="D604" s="3">
        <v>0.25</v>
      </c>
      <c r="E604">
        <v>101</v>
      </c>
      <c r="F604">
        <v>100</v>
      </c>
      <c r="G604">
        <v>4</v>
      </c>
      <c r="H604" s="1" t="s">
        <v>46</v>
      </c>
      <c r="I604">
        <v>18.5</v>
      </c>
      <c r="J604">
        <v>22</v>
      </c>
      <c r="K604" s="1" t="s">
        <v>47</v>
      </c>
      <c r="L604" s="1" t="s">
        <v>69</v>
      </c>
      <c r="M604">
        <v>0</v>
      </c>
      <c r="N604">
        <v>0</v>
      </c>
      <c r="O604" s="1" t="s">
        <v>27</v>
      </c>
      <c r="P604">
        <v>1</v>
      </c>
      <c r="Q604">
        <v>1</v>
      </c>
      <c r="R604">
        <v>4</v>
      </c>
      <c r="S604">
        <v>6</v>
      </c>
      <c r="T604">
        <v>0</v>
      </c>
      <c r="U604">
        <v>0</v>
      </c>
      <c r="V604">
        <v>5.46</v>
      </c>
    </row>
    <row r="605" spans="1:22">
      <c r="A605" s="1" t="s">
        <v>651</v>
      </c>
      <c r="B605" s="1" t="s">
        <v>45</v>
      </c>
      <c r="C605" s="2">
        <v>46270</v>
      </c>
      <c r="D605" s="3">
        <v>0.80208333333333337</v>
      </c>
      <c r="E605">
        <v>109</v>
      </c>
      <c r="F605">
        <v>110</v>
      </c>
      <c r="G605">
        <v>6</v>
      </c>
      <c r="H605" s="1" t="s">
        <v>46</v>
      </c>
      <c r="I605">
        <v>18.5</v>
      </c>
      <c r="J605">
        <v>22</v>
      </c>
      <c r="K605" s="1" t="s">
        <v>47</v>
      </c>
      <c r="L605" s="1" t="s">
        <v>32</v>
      </c>
      <c r="M605">
        <v>1</v>
      </c>
      <c r="N605">
        <v>1</v>
      </c>
      <c r="O605" s="1" t="s">
        <v>27</v>
      </c>
      <c r="P605">
        <v>1</v>
      </c>
      <c r="Q605">
        <v>1</v>
      </c>
      <c r="R605">
        <v>25</v>
      </c>
      <c r="S605">
        <v>19</v>
      </c>
      <c r="T605">
        <v>1</v>
      </c>
      <c r="U605">
        <v>0</v>
      </c>
      <c r="V605">
        <v>5.89</v>
      </c>
    </row>
    <row r="606" spans="1:22">
      <c r="A606" s="1" t="s">
        <v>652</v>
      </c>
      <c r="B606" s="1" t="s">
        <v>34</v>
      </c>
      <c r="C606" s="2">
        <v>46287</v>
      </c>
      <c r="D606" s="3">
        <v>0.625</v>
      </c>
      <c r="E606">
        <v>87</v>
      </c>
      <c r="F606">
        <v>96</v>
      </c>
      <c r="G606">
        <v>4</v>
      </c>
      <c r="H606" s="1" t="s">
        <v>35</v>
      </c>
      <c r="I606">
        <v>12.2</v>
      </c>
      <c r="J606">
        <v>18</v>
      </c>
      <c r="K606" s="1" t="s">
        <v>36</v>
      </c>
      <c r="L606" s="1" t="s">
        <v>26</v>
      </c>
      <c r="M606">
        <v>0</v>
      </c>
      <c r="N606">
        <v>0</v>
      </c>
      <c r="O606" s="1" t="s">
        <v>27</v>
      </c>
      <c r="P606">
        <v>1</v>
      </c>
      <c r="Q606">
        <v>1</v>
      </c>
      <c r="R606">
        <v>2</v>
      </c>
      <c r="S606">
        <v>15</v>
      </c>
      <c r="T606">
        <v>0</v>
      </c>
      <c r="U606">
        <v>0</v>
      </c>
      <c r="V606">
        <v>7.13</v>
      </c>
    </row>
    <row r="607" spans="1:22">
      <c r="A607" s="1" t="s">
        <v>653</v>
      </c>
      <c r="B607" s="1" t="s">
        <v>34</v>
      </c>
      <c r="C607" s="2">
        <v>46281</v>
      </c>
      <c r="D607" s="3">
        <v>0.86458333333333337</v>
      </c>
      <c r="E607">
        <v>31</v>
      </c>
      <c r="F607">
        <v>30</v>
      </c>
      <c r="G607">
        <v>4</v>
      </c>
      <c r="H607" s="1" t="s">
        <v>35</v>
      </c>
      <c r="I607">
        <v>12.2</v>
      </c>
      <c r="J607">
        <v>18</v>
      </c>
      <c r="K607" s="1" t="s">
        <v>36</v>
      </c>
      <c r="L607" s="1" t="s">
        <v>69</v>
      </c>
      <c r="M607">
        <v>0</v>
      </c>
      <c r="N607">
        <v>0</v>
      </c>
      <c r="O607" s="1" t="s">
        <v>27</v>
      </c>
      <c r="P607">
        <v>1</v>
      </c>
      <c r="Q607">
        <v>1</v>
      </c>
      <c r="R607">
        <v>10</v>
      </c>
      <c r="S607">
        <v>20</v>
      </c>
      <c r="T607">
        <v>0</v>
      </c>
      <c r="U607">
        <v>0</v>
      </c>
      <c r="V607">
        <v>2.54</v>
      </c>
    </row>
    <row r="608" spans="1:22">
      <c r="A608" s="1" t="s">
        <v>654</v>
      </c>
      <c r="B608" s="1" t="s">
        <v>29</v>
      </c>
      <c r="C608" s="2">
        <v>46271</v>
      </c>
      <c r="D608" s="3">
        <v>0.875</v>
      </c>
      <c r="E608">
        <v>78</v>
      </c>
      <c r="F608">
        <v>69</v>
      </c>
      <c r="G608">
        <v>4</v>
      </c>
      <c r="H608" s="1" t="s">
        <v>30</v>
      </c>
      <c r="I608">
        <v>32</v>
      </c>
      <c r="J608">
        <v>14</v>
      </c>
      <c r="K608" s="1" t="s">
        <v>31</v>
      </c>
      <c r="L608" s="1" t="s">
        <v>38</v>
      </c>
      <c r="M608">
        <v>1</v>
      </c>
      <c r="N608">
        <v>0</v>
      </c>
      <c r="O608" s="1" t="s">
        <v>27</v>
      </c>
      <c r="P608">
        <v>1</v>
      </c>
      <c r="Q608">
        <v>1</v>
      </c>
      <c r="R608">
        <v>5</v>
      </c>
      <c r="S608">
        <v>21</v>
      </c>
      <c r="T608">
        <v>0</v>
      </c>
      <c r="U608">
        <v>0</v>
      </c>
      <c r="V608">
        <v>2.44</v>
      </c>
    </row>
    <row r="609" spans="1:22">
      <c r="A609" s="1" t="s">
        <v>655</v>
      </c>
      <c r="B609" s="1" t="s">
        <v>23</v>
      </c>
      <c r="C609" s="2">
        <v>46273</v>
      </c>
      <c r="D609" s="3">
        <v>0.6875</v>
      </c>
      <c r="E609">
        <v>119</v>
      </c>
      <c r="F609">
        <v>125</v>
      </c>
      <c r="G609">
        <v>4</v>
      </c>
      <c r="H609" s="1" t="s">
        <v>24</v>
      </c>
      <c r="I609">
        <v>15</v>
      </c>
      <c r="J609">
        <v>16</v>
      </c>
      <c r="K609" s="1" t="s">
        <v>25</v>
      </c>
      <c r="L609" s="1" t="s">
        <v>26</v>
      </c>
      <c r="M609">
        <v>0</v>
      </c>
      <c r="N609">
        <v>0</v>
      </c>
      <c r="O609" s="1" t="s">
        <v>27</v>
      </c>
      <c r="P609">
        <v>1</v>
      </c>
      <c r="Q609">
        <v>1</v>
      </c>
      <c r="R609">
        <v>7</v>
      </c>
      <c r="S609">
        <v>16</v>
      </c>
      <c r="T609">
        <v>0</v>
      </c>
      <c r="U609">
        <v>0</v>
      </c>
      <c r="V609">
        <v>7.93</v>
      </c>
    </row>
    <row r="610" spans="1:22">
      <c r="A610" s="1" t="s">
        <v>656</v>
      </c>
      <c r="B610" s="1" t="s">
        <v>45</v>
      </c>
      <c r="C610" s="2">
        <v>46290</v>
      </c>
      <c r="D610" s="3">
        <v>0.8125</v>
      </c>
      <c r="E610">
        <v>51</v>
      </c>
      <c r="F610">
        <v>60</v>
      </c>
      <c r="G610">
        <v>4</v>
      </c>
      <c r="H610" s="1" t="s">
        <v>46</v>
      </c>
      <c r="I610">
        <v>18.5</v>
      </c>
      <c r="J610">
        <v>22</v>
      </c>
      <c r="K610" s="1" t="s">
        <v>47</v>
      </c>
      <c r="L610" s="1" t="s">
        <v>49</v>
      </c>
      <c r="M610">
        <v>0</v>
      </c>
      <c r="N610">
        <v>0</v>
      </c>
      <c r="O610" s="1" t="s">
        <v>27</v>
      </c>
      <c r="P610">
        <v>1</v>
      </c>
      <c r="Q610">
        <v>1</v>
      </c>
      <c r="R610">
        <v>0</v>
      </c>
      <c r="S610">
        <v>19</v>
      </c>
      <c r="T610">
        <v>1</v>
      </c>
      <c r="U610">
        <v>0</v>
      </c>
      <c r="V610">
        <v>2.76</v>
      </c>
    </row>
    <row r="611" spans="1:22">
      <c r="A611" s="1" t="s">
        <v>657</v>
      </c>
      <c r="B611" s="1" t="s">
        <v>45</v>
      </c>
      <c r="C611" s="2">
        <v>46283</v>
      </c>
      <c r="D611" s="3">
        <v>0.29166666666666669</v>
      </c>
      <c r="E611">
        <v>197</v>
      </c>
      <c r="F611">
        <v>198</v>
      </c>
      <c r="G611">
        <v>7</v>
      </c>
      <c r="H611" s="1" t="s">
        <v>46</v>
      </c>
      <c r="I611">
        <v>18.5</v>
      </c>
      <c r="J611">
        <v>22</v>
      </c>
      <c r="K611" s="1" t="s">
        <v>47</v>
      </c>
      <c r="L611" s="1" t="s">
        <v>49</v>
      </c>
      <c r="M611">
        <v>0</v>
      </c>
      <c r="N611">
        <v>0</v>
      </c>
      <c r="O611" s="1" t="s">
        <v>27</v>
      </c>
      <c r="P611">
        <v>1</v>
      </c>
      <c r="Q611">
        <v>1</v>
      </c>
      <c r="R611">
        <v>4</v>
      </c>
      <c r="S611">
        <v>7</v>
      </c>
      <c r="T611">
        <v>0</v>
      </c>
      <c r="U611">
        <v>0</v>
      </c>
      <c r="V611">
        <v>10.65</v>
      </c>
    </row>
    <row r="612" spans="1:22">
      <c r="A612" s="1" t="s">
        <v>658</v>
      </c>
      <c r="B612" s="1" t="s">
        <v>29</v>
      </c>
      <c r="C612" s="2">
        <v>46290</v>
      </c>
      <c r="D612" s="3">
        <v>0.84375</v>
      </c>
      <c r="E612">
        <v>73</v>
      </c>
      <c r="F612">
        <v>71</v>
      </c>
      <c r="G612">
        <v>3</v>
      </c>
      <c r="H612" s="1" t="s">
        <v>30</v>
      </c>
      <c r="I612">
        <v>32</v>
      </c>
      <c r="J612">
        <v>14</v>
      </c>
      <c r="K612" s="1" t="s">
        <v>31</v>
      </c>
      <c r="L612" s="1" t="s">
        <v>49</v>
      </c>
      <c r="M612">
        <v>0</v>
      </c>
      <c r="N612">
        <v>0</v>
      </c>
      <c r="O612" s="1" t="s">
        <v>27</v>
      </c>
      <c r="P612">
        <v>1</v>
      </c>
      <c r="Q612">
        <v>1</v>
      </c>
      <c r="R612">
        <v>14</v>
      </c>
      <c r="S612">
        <v>20</v>
      </c>
      <c r="T612">
        <v>0</v>
      </c>
      <c r="U612">
        <v>0</v>
      </c>
      <c r="V612">
        <v>2.2799999999999998</v>
      </c>
    </row>
    <row r="613" spans="1:22">
      <c r="A613" s="1" t="s">
        <v>659</v>
      </c>
      <c r="B613" s="1" t="s">
        <v>29</v>
      </c>
      <c r="C613" s="2">
        <v>46277</v>
      </c>
      <c r="D613" s="3">
        <v>0.27083333333333331</v>
      </c>
      <c r="E613">
        <v>50</v>
      </c>
      <c r="F613">
        <v>46</v>
      </c>
      <c r="G613">
        <v>3</v>
      </c>
      <c r="H613" s="1" t="s">
        <v>30</v>
      </c>
      <c r="I613">
        <v>32</v>
      </c>
      <c r="J613">
        <v>14</v>
      </c>
      <c r="K613" s="1" t="s">
        <v>31</v>
      </c>
      <c r="L613" s="1" t="s">
        <v>32</v>
      </c>
      <c r="M613">
        <v>1</v>
      </c>
      <c r="N613">
        <v>0</v>
      </c>
      <c r="O613" s="1" t="s">
        <v>40</v>
      </c>
      <c r="P613">
        <v>1</v>
      </c>
      <c r="Q613">
        <v>1</v>
      </c>
      <c r="R613">
        <v>1</v>
      </c>
      <c r="S613">
        <v>6</v>
      </c>
      <c r="T613">
        <v>0</v>
      </c>
      <c r="U613">
        <v>1</v>
      </c>
      <c r="V613">
        <v>1.56</v>
      </c>
    </row>
    <row r="614" spans="1:22">
      <c r="A614" s="1" t="s">
        <v>660</v>
      </c>
      <c r="B614" s="1" t="s">
        <v>29</v>
      </c>
      <c r="C614" s="2">
        <v>46280</v>
      </c>
      <c r="D614" s="3">
        <v>0.53125</v>
      </c>
      <c r="E614">
        <v>70</v>
      </c>
      <c r="F614">
        <v>72</v>
      </c>
      <c r="G614">
        <v>4</v>
      </c>
      <c r="H614" s="1" t="s">
        <v>30</v>
      </c>
      <c r="I614">
        <v>32</v>
      </c>
      <c r="J614">
        <v>14</v>
      </c>
      <c r="K614" s="1" t="s">
        <v>31</v>
      </c>
      <c r="L614" s="1" t="s">
        <v>26</v>
      </c>
      <c r="M614">
        <v>0</v>
      </c>
      <c r="N614">
        <v>0</v>
      </c>
      <c r="O614" s="1" t="s">
        <v>27</v>
      </c>
      <c r="P614">
        <v>1</v>
      </c>
      <c r="Q614">
        <v>1</v>
      </c>
      <c r="R614">
        <v>0</v>
      </c>
      <c r="S614">
        <v>12</v>
      </c>
      <c r="T614">
        <v>0</v>
      </c>
      <c r="U614">
        <v>0</v>
      </c>
      <c r="V614">
        <v>2.19</v>
      </c>
    </row>
    <row r="615" spans="1:22">
      <c r="A615" s="1" t="s">
        <v>661</v>
      </c>
      <c r="B615" s="1" t="s">
        <v>29</v>
      </c>
      <c r="C615" s="2">
        <v>46292</v>
      </c>
      <c r="D615" s="3">
        <v>0.8125</v>
      </c>
      <c r="E615">
        <v>46</v>
      </c>
      <c r="F615">
        <v>50</v>
      </c>
      <c r="G615">
        <v>4</v>
      </c>
      <c r="H615" s="1" t="s">
        <v>30</v>
      </c>
      <c r="I615">
        <v>32</v>
      </c>
      <c r="J615">
        <v>14</v>
      </c>
      <c r="K615" s="1" t="s">
        <v>31</v>
      </c>
      <c r="L615" s="1" t="s">
        <v>38</v>
      </c>
      <c r="M615">
        <v>1</v>
      </c>
      <c r="N615">
        <v>0</v>
      </c>
      <c r="O615" s="1" t="s">
        <v>134</v>
      </c>
      <c r="P615">
        <v>1</v>
      </c>
      <c r="Q615">
        <v>1</v>
      </c>
      <c r="R615">
        <v>4</v>
      </c>
      <c r="S615">
        <v>19</v>
      </c>
      <c r="T615">
        <v>1</v>
      </c>
      <c r="U615">
        <v>1</v>
      </c>
      <c r="V615">
        <v>1.44</v>
      </c>
    </row>
    <row r="616" spans="1:22">
      <c r="A616" s="1" t="s">
        <v>662</v>
      </c>
      <c r="B616" s="1" t="s">
        <v>45</v>
      </c>
      <c r="C616" s="2">
        <v>46291</v>
      </c>
      <c r="D616" s="3">
        <v>0.41666666666666669</v>
      </c>
      <c r="E616">
        <v>125</v>
      </c>
      <c r="F616">
        <v>134</v>
      </c>
      <c r="G616">
        <v>4</v>
      </c>
      <c r="H616" s="1" t="s">
        <v>46</v>
      </c>
      <c r="I616">
        <v>18.5</v>
      </c>
      <c r="J616">
        <v>22</v>
      </c>
      <c r="K616" s="1" t="s">
        <v>47</v>
      </c>
      <c r="L616" s="1" t="s">
        <v>32</v>
      </c>
      <c r="M616">
        <v>1</v>
      </c>
      <c r="N616">
        <v>0</v>
      </c>
      <c r="O616" s="1" t="s">
        <v>27</v>
      </c>
      <c r="P616">
        <v>1</v>
      </c>
      <c r="Q616">
        <v>1</v>
      </c>
      <c r="R616">
        <v>7</v>
      </c>
      <c r="S616">
        <v>10</v>
      </c>
      <c r="T616">
        <v>1</v>
      </c>
      <c r="U616">
        <v>0</v>
      </c>
      <c r="V616">
        <v>6.76</v>
      </c>
    </row>
    <row r="617" spans="1:22">
      <c r="A617" s="1" t="s">
        <v>663</v>
      </c>
      <c r="B617" s="1" t="s">
        <v>29</v>
      </c>
      <c r="C617" s="2">
        <v>46274</v>
      </c>
      <c r="D617" s="3">
        <v>0.23958333333333334</v>
      </c>
      <c r="E617">
        <v>72</v>
      </c>
      <c r="F617">
        <v>72</v>
      </c>
      <c r="G617">
        <v>4</v>
      </c>
      <c r="H617" s="1" t="s">
        <v>30</v>
      </c>
      <c r="I617">
        <v>32</v>
      </c>
      <c r="J617">
        <v>14</v>
      </c>
      <c r="K617" s="1" t="s">
        <v>31</v>
      </c>
      <c r="L617" s="1" t="s">
        <v>69</v>
      </c>
      <c r="M617">
        <v>0</v>
      </c>
      <c r="N617">
        <v>0</v>
      </c>
      <c r="O617" s="1" t="s">
        <v>27</v>
      </c>
      <c r="P617">
        <v>1</v>
      </c>
      <c r="Q617">
        <v>1</v>
      </c>
      <c r="R617">
        <v>8</v>
      </c>
      <c r="S617">
        <v>5</v>
      </c>
      <c r="T617">
        <v>0</v>
      </c>
      <c r="U617">
        <v>0</v>
      </c>
      <c r="V617">
        <v>2.25</v>
      </c>
    </row>
    <row r="618" spans="1:22">
      <c r="A618" s="1" t="s">
        <v>664</v>
      </c>
      <c r="B618" s="1" t="s">
        <v>29</v>
      </c>
      <c r="C618" s="2">
        <v>46278</v>
      </c>
      <c r="D618" s="3">
        <v>0.32291666666666669</v>
      </c>
      <c r="E618">
        <v>87</v>
      </c>
      <c r="F618">
        <v>76</v>
      </c>
      <c r="G618">
        <v>4</v>
      </c>
      <c r="H618" s="1" t="s">
        <v>30</v>
      </c>
      <c r="I618">
        <v>32</v>
      </c>
      <c r="J618">
        <v>14</v>
      </c>
      <c r="K618" s="1" t="s">
        <v>31</v>
      </c>
      <c r="L618" s="1" t="s">
        <v>38</v>
      </c>
      <c r="M618">
        <v>1</v>
      </c>
      <c r="N618">
        <v>0</v>
      </c>
      <c r="O618" s="1" t="s">
        <v>27</v>
      </c>
      <c r="P618">
        <v>1</v>
      </c>
      <c r="Q618">
        <v>1</v>
      </c>
      <c r="R618">
        <v>0</v>
      </c>
      <c r="S618">
        <v>7</v>
      </c>
      <c r="T618">
        <v>0</v>
      </c>
      <c r="U618">
        <v>0</v>
      </c>
      <c r="V618">
        <v>2.72</v>
      </c>
    </row>
    <row r="619" spans="1:22">
      <c r="A619" s="1" t="s">
        <v>665</v>
      </c>
      <c r="B619" s="1" t="s">
        <v>45</v>
      </c>
      <c r="C619" s="2">
        <v>46291</v>
      </c>
      <c r="D619" s="3">
        <v>0.80208333333333337</v>
      </c>
      <c r="E619">
        <v>86</v>
      </c>
      <c r="F619">
        <v>76</v>
      </c>
      <c r="G619">
        <v>6</v>
      </c>
      <c r="H619" s="1" t="s">
        <v>46</v>
      </c>
      <c r="I619">
        <v>18.5</v>
      </c>
      <c r="J619">
        <v>22</v>
      </c>
      <c r="K619" s="1" t="s">
        <v>47</v>
      </c>
      <c r="L619" s="1" t="s">
        <v>32</v>
      </c>
      <c r="M619">
        <v>1</v>
      </c>
      <c r="N619">
        <v>0</v>
      </c>
      <c r="O619" s="1" t="s">
        <v>27</v>
      </c>
      <c r="P619">
        <v>1</v>
      </c>
      <c r="Q619">
        <v>1</v>
      </c>
      <c r="R619">
        <v>6</v>
      </c>
      <c r="S619">
        <v>19</v>
      </c>
      <c r="T619">
        <v>1</v>
      </c>
      <c r="U619">
        <v>0</v>
      </c>
      <c r="V619">
        <v>4.6500000000000004</v>
      </c>
    </row>
    <row r="620" spans="1:22">
      <c r="A620" s="1" t="s">
        <v>666</v>
      </c>
      <c r="B620" s="1" t="s">
        <v>45</v>
      </c>
      <c r="C620" s="2">
        <v>46280</v>
      </c>
      <c r="D620" s="3">
        <v>0.8125</v>
      </c>
      <c r="E620">
        <v>131</v>
      </c>
      <c r="F620">
        <v>128</v>
      </c>
      <c r="G620">
        <v>5</v>
      </c>
      <c r="H620" s="1" t="s">
        <v>46</v>
      </c>
      <c r="I620">
        <v>18.5</v>
      </c>
      <c r="J620">
        <v>22</v>
      </c>
      <c r="K620" s="1" t="s">
        <v>47</v>
      </c>
      <c r="L620" s="1" t="s">
        <v>26</v>
      </c>
      <c r="M620">
        <v>0</v>
      </c>
      <c r="N620">
        <v>0</v>
      </c>
      <c r="O620" s="1" t="s">
        <v>27</v>
      </c>
      <c r="P620">
        <v>1</v>
      </c>
      <c r="Q620">
        <v>1</v>
      </c>
      <c r="R620">
        <v>20</v>
      </c>
      <c r="S620">
        <v>19</v>
      </c>
      <c r="T620">
        <v>1</v>
      </c>
      <c r="U620">
        <v>0</v>
      </c>
      <c r="V620">
        <v>7.08</v>
      </c>
    </row>
    <row r="621" spans="1:22">
      <c r="A621" s="1" t="s">
        <v>667</v>
      </c>
      <c r="B621" s="1" t="s">
        <v>34</v>
      </c>
      <c r="C621" s="2">
        <v>46275</v>
      </c>
      <c r="D621" s="3">
        <v>0.29166666666666669</v>
      </c>
      <c r="E621">
        <v>142</v>
      </c>
      <c r="F621">
        <v>129</v>
      </c>
      <c r="G621">
        <v>5</v>
      </c>
      <c r="H621" s="1" t="s">
        <v>35</v>
      </c>
      <c r="I621">
        <v>12.2</v>
      </c>
      <c r="J621">
        <v>18</v>
      </c>
      <c r="K621" s="1" t="s">
        <v>36</v>
      </c>
      <c r="L621" s="1" t="s">
        <v>56</v>
      </c>
      <c r="M621">
        <v>0</v>
      </c>
      <c r="N621">
        <v>0</v>
      </c>
      <c r="O621" s="1" t="s">
        <v>27</v>
      </c>
      <c r="P621">
        <v>1</v>
      </c>
      <c r="Q621">
        <v>1</v>
      </c>
      <c r="R621">
        <v>5</v>
      </c>
      <c r="S621">
        <v>7</v>
      </c>
      <c r="T621">
        <v>0</v>
      </c>
      <c r="U621">
        <v>0</v>
      </c>
      <c r="V621">
        <v>11.64</v>
      </c>
    </row>
    <row r="622" spans="1:22">
      <c r="A622" s="1" t="s">
        <v>668</v>
      </c>
      <c r="B622" s="1" t="s">
        <v>29</v>
      </c>
      <c r="C622" s="2">
        <v>46281</v>
      </c>
      <c r="D622" s="3">
        <v>0.78125</v>
      </c>
      <c r="E622">
        <v>67</v>
      </c>
      <c r="F622">
        <v>67</v>
      </c>
      <c r="G622">
        <v>4</v>
      </c>
      <c r="H622" s="1" t="s">
        <v>30</v>
      </c>
      <c r="I622">
        <v>32</v>
      </c>
      <c r="J622">
        <v>14</v>
      </c>
      <c r="K622" s="1" t="s">
        <v>31</v>
      </c>
      <c r="L622" s="1" t="s">
        <v>69</v>
      </c>
      <c r="M622">
        <v>0</v>
      </c>
      <c r="N622">
        <v>0</v>
      </c>
      <c r="O622" s="1" t="s">
        <v>27</v>
      </c>
      <c r="P622">
        <v>1</v>
      </c>
      <c r="Q622">
        <v>1</v>
      </c>
      <c r="R622">
        <v>0</v>
      </c>
      <c r="S622">
        <v>18</v>
      </c>
      <c r="T622">
        <v>1</v>
      </c>
      <c r="U622">
        <v>0</v>
      </c>
      <c r="V622">
        <v>2.09</v>
      </c>
    </row>
    <row r="623" spans="1:22">
      <c r="A623" s="1" t="s">
        <v>669</v>
      </c>
      <c r="B623" s="1" t="s">
        <v>29</v>
      </c>
      <c r="C623" s="2">
        <v>46272</v>
      </c>
      <c r="D623" s="3">
        <v>0.78125</v>
      </c>
      <c r="E623">
        <v>60</v>
      </c>
      <c r="F623">
        <v>70</v>
      </c>
      <c r="G623">
        <v>5</v>
      </c>
      <c r="H623" s="1" t="s">
        <v>30</v>
      </c>
      <c r="I623">
        <v>32</v>
      </c>
      <c r="J623">
        <v>14</v>
      </c>
      <c r="K623" s="1" t="s">
        <v>31</v>
      </c>
      <c r="L623" s="1" t="s">
        <v>65</v>
      </c>
      <c r="M623">
        <v>0</v>
      </c>
      <c r="N623">
        <v>0</v>
      </c>
      <c r="O623" s="1" t="s">
        <v>27</v>
      </c>
      <c r="P623">
        <v>1</v>
      </c>
      <c r="Q623">
        <v>1</v>
      </c>
      <c r="R623">
        <v>7</v>
      </c>
      <c r="S623">
        <v>18</v>
      </c>
      <c r="T623">
        <v>1</v>
      </c>
      <c r="U623">
        <v>0</v>
      </c>
      <c r="V623">
        <v>1.88</v>
      </c>
    </row>
    <row r="624" spans="1:22">
      <c r="A624" s="1" t="s">
        <v>670</v>
      </c>
      <c r="B624" s="1" t="s">
        <v>34</v>
      </c>
      <c r="C624" s="2">
        <v>46282</v>
      </c>
      <c r="D624" s="3">
        <v>0.66666666666666663</v>
      </c>
      <c r="E624">
        <v>111</v>
      </c>
      <c r="F624">
        <v>107</v>
      </c>
      <c r="G624">
        <v>5</v>
      </c>
      <c r="H624" s="1" t="s">
        <v>35</v>
      </c>
      <c r="I624">
        <v>12.2</v>
      </c>
      <c r="J624">
        <v>18</v>
      </c>
      <c r="K624" s="1" t="s">
        <v>36</v>
      </c>
      <c r="L624" s="1" t="s">
        <v>56</v>
      </c>
      <c r="M624">
        <v>0</v>
      </c>
      <c r="N624">
        <v>0</v>
      </c>
      <c r="O624" s="1" t="s">
        <v>27</v>
      </c>
      <c r="P624">
        <v>1</v>
      </c>
      <c r="Q624">
        <v>1</v>
      </c>
      <c r="R624">
        <v>3</v>
      </c>
      <c r="S624">
        <v>16</v>
      </c>
      <c r="T624">
        <v>0</v>
      </c>
      <c r="U624">
        <v>0</v>
      </c>
      <c r="V624">
        <v>9.1</v>
      </c>
    </row>
    <row r="625" spans="1:22">
      <c r="A625" s="1" t="s">
        <v>671</v>
      </c>
      <c r="B625" s="1" t="s">
        <v>29</v>
      </c>
      <c r="C625" s="2">
        <v>46288</v>
      </c>
      <c r="D625" s="3">
        <v>0.45833333333333331</v>
      </c>
      <c r="E625">
        <v>62</v>
      </c>
      <c r="F625">
        <v>60</v>
      </c>
      <c r="G625">
        <v>4</v>
      </c>
      <c r="H625" s="1" t="s">
        <v>30</v>
      </c>
      <c r="I625">
        <v>32</v>
      </c>
      <c r="J625">
        <v>14</v>
      </c>
      <c r="K625" s="1" t="s">
        <v>31</v>
      </c>
      <c r="L625" s="1" t="s">
        <v>69</v>
      </c>
      <c r="M625">
        <v>0</v>
      </c>
      <c r="N625">
        <v>0</v>
      </c>
      <c r="O625" s="1" t="s">
        <v>27</v>
      </c>
      <c r="P625">
        <v>1</v>
      </c>
      <c r="Q625">
        <v>1</v>
      </c>
      <c r="R625">
        <v>9</v>
      </c>
      <c r="S625">
        <v>11</v>
      </c>
      <c r="T625">
        <v>0</v>
      </c>
      <c r="U625">
        <v>0</v>
      </c>
      <c r="V625">
        <v>1.94</v>
      </c>
    </row>
    <row r="626" spans="1:22">
      <c r="A626" s="1" t="s">
        <v>672</v>
      </c>
      <c r="B626" s="1" t="s">
        <v>29</v>
      </c>
      <c r="C626" s="2">
        <v>46291</v>
      </c>
      <c r="D626" s="3">
        <v>0.32291666666666669</v>
      </c>
      <c r="E626">
        <v>49</v>
      </c>
      <c r="F626">
        <v>54</v>
      </c>
      <c r="G626">
        <v>5</v>
      </c>
      <c r="H626" s="1" t="s">
        <v>30</v>
      </c>
      <c r="I626">
        <v>32</v>
      </c>
      <c r="J626">
        <v>14</v>
      </c>
      <c r="K626" s="1" t="s">
        <v>31</v>
      </c>
      <c r="L626" s="1" t="s">
        <v>32</v>
      </c>
      <c r="M626">
        <v>1</v>
      </c>
      <c r="N626">
        <v>0</v>
      </c>
      <c r="O626" s="1" t="s">
        <v>27</v>
      </c>
      <c r="P626">
        <v>1</v>
      </c>
      <c r="Q626">
        <v>1</v>
      </c>
      <c r="R626">
        <v>0</v>
      </c>
      <c r="S626">
        <v>7</v>
      </c>
      <c r="T626">
        <v>0</v>
      </c>
      <c r="U626">
        <v>0</v>
      </c>
      <c r="V626">
        <v>1.53</v>
      </c>
    </row>
    <row r="627" spans="1:22">
      <c r="A627" s="1" t="s">
        <v>673</v>
      </c>
      <c r="B627" s="1" t="s">
        <v>45</v>
      </c>
      <c r="C627" s="2">
        <v>46286</v>
      </c>
      <c r="D627" s="3">
        <v>0.72916666666666663</v>
      </c>
      <c r="E627">
        <v>100</v>
      </c>
      <c r="F627">
        <v>94</v>
      </c>
      <c r="G627">
        <v>4</v>
      </c>
      <c r="H627" s="1" t="s">
        <v>46</v>
      </c>
      <c r="I627">
        <v>18.5</v>
      </c>
      <c r="J627">
        <v>22</v>
      </c>
      <c r="K627" s="1" t="s">
        <v>47</v>
      </c>
      <c r="L627" s="1" t="s">
        <v>65</v>
      </c>
      <c r="M627">
        <v>0</v>
      </c>
      <c r="N627">
        <v>0</v>
      </c>
      <c r="O627" s="1" t="s">
        <v>27</v>
      </c>
      <c r="P627">
        <v>1</v>
      </c>
      <c r="Q627">
        <v>1</v>
      </c>
      <c r="R627">
        <v>15</v>
      </c>
      <c r="S627">
        <v>17</v>
      </c>
      <c r="T627">
        <v>1</v>
      </c>
      <c r="U627">
        <v>0</v>
      </c>
      <c r="V627">
        <v>5.41</v>
      </c>
    </row>
    <row r="628" spans="1:22">
      <c r="A628" s="1" t="s">
        <v>674</v>
      </c>
      <c r="B628" s="1" t="s">
        <v>45</v>
      </c>
      <c r="C628" s="2">
        <v>46287</v>
      </c>
      <c r="D628" s="3">
        <v>0.9375</v>
      </c>
      <c r="E628">
        <v>128</v>
      </c>
      <c r="F628">
        <v>130</v>
      </c>
      <c r="G628">
        <v>3</v>
      </c>
      <c r="H628" s="1" t="s">
        <v>46</v>
      </c>
      <c r="I628">
        <v>18.5</v>
      </c>
      <c r="J628">
        <v>22</v>
      </c>
      <c r="K628" s="1" t="s">
        <v>47</v>
      </c>
      <c r="L628" s="1" t="s">
        <v>26</v>
      </c>
      <c r="M628">
        <v>0</v>
      </c>
      <c r="N628">
        <v>0</v>
      </c>
      <c r="O628" s="1" t="s">
        <v>27</v>
      </c>
      <c r="P628">
        <v>1</v>
      </c>
      <c r="Q628">
        <v>1</v>
      </c>
      <c r="R628">
        <v>4</v>
      </c>
      <c r="S628">
        <v>22</v>
      </c>
      <c r="T628">
        <v>0</v>
      </c>
      <c r="U628">
        <v>0</v>
      </c>
      <c r="V628">
        <v>6.92</v>
      </c>
    </row>
    <row r="629" spans="1:22">
      <c r="A629" s="1" t="s">
        <v>675</v>
      </c>
      <c r="B629" s="1" t="s">
        <v>45</v>
      </c>
      <c r="C629" s="2">
        <v>46291</v>
      </c>
      <c r="D629" s="3">
        <v>0.21875</v>
      </c>
      <c r="E629">
        <v>47</v>
      </c>
      <c r="F629">
        <v>50</v>
      </c>
      <c r="G629">
        <v>4</v>
      </c>
      <c r="H629" s="1" t="s">
        <v>46</v>
      </c>
      <c r="I629">
        <v>18.5</v>
      </c>
      <c r="J629">
        <v>22</v>
      </c>
      <c r="K629" s="1" t="s">
        <v>47</v>
      </c>
      <c r="L629" s="1" t="s">
        <v>32</v>
      </c>
      <c r="M629">
        <v>1</v>
      </c>
      <c r="N629">
        <v>0</v>
      </c>
      <c r="O629" s="1" t="s">
        <v>27</v>
      </c>
      <c r="P629">
        <v>1</v>
      </c>
      <c r="Q629">
        <v>1</v>
      </c>
      <c r="R629">
        <v>26</v>
      </c>
      <c r="S629">
        <v>5</v>
      </c>
      <c r="T629">
        <v>0</v>
      </c>
      <c r="U629">
        <v>0</v>
      </c>
      <c r="V629">
        <v>2.54</v>
      </c>
    </row>
    <row r="630" spans="1:22">
      <c r="A630" s="1" t="s">
        <v>676</v>
      </c>
      <c r="B630" s="1" t="s">
        <v>29</v>
      </c>
      <c r="C630" s="2">
        <v>46272</v>
      </c>
      <c r="D630" s="3">
        <v>0.28125</v>
      </c>
      <c r="E630">
        <v>78</v>
      </c>
      <c r="F630">
        <v>80</v>
      </c>
      <c r="G630">
        <v>4</v>
      </c>
      <c r="H630" s="1" t="s">
        <v>30</v>
      </c>
      <c r="I630">
        <v>32</v>
      </c>
      <c r="J630">
        <v>14</v>
      </c>
      <c r="K630" s="1" t="s">
        <v>31</v>
      </c>
      <c r="L630" s="1" t="s">
        <v>65</v>
      </c>
      <c r="M630">
        <v>0</v>
      </c>
      <c r="N630">
        <v>0</v>
      </c>
      <c r="O630" s="1" t="s">
        <v>27</v>
      </c>
      <c r="P630">
        <v>1</v>
      </c>
      <c r="Q630">
        <v>1</v>
      </c>
      <c r="R630">
        <v>4</v>
      </c>
      <c r="S630">
        <v>6</v>
      </c>
      <c r="T630">
        <v>0</v>
      </c>
      <c r="U630">
        <v>0</v>
      </c>
      <c r="V630">
        <v>2.44</v>
      </c>
    </row>
    <row r="631" spans="1:22">
      <c r="A631" s="1" t="s">
        <v>677</v>
      </c>
      <c r="B631" s="1" t="s">
        <v>29</v>
      </c>
      <c r="C631" s="2">
        <v>46279</v>
      </c>
      <c r="D631" s="3">
        <v>0.76041666666666663</v>
      </c>
      <c r="E631">
        <v>60</v>
      </c>
      <c r="F631">
        <v>69</v>
      </c>
      <c r="G631">
        <v>2</v>
      </c>
      <c r="H631" s="1" t="s">
        <v>30</v>
      </c>
      <c r="I631">
        <v>32</v>
      </c>
      <c r="J631">
        <v>14</v>
      </c>
      <c r="K631" s="1" t="s">
        <v>31</v>
      </c>
      <c r="L631" s="1" t="s">
        <v>65</v>
      </c>
      <c r="M631">
        <v>0</v>
      </c>
      <c r="N631">
        <v>0</v>
      </c>
      <c r="O631" s="1" t="s">
        <v>27</v>
      </c>
      <c r="P631">
        <v>1</v>
      </c>
      <c r="Q631">
        <v>1</v>
      </c>
      <c r="R631">
        <v>5</v>
      </c>
      <c r="S631">
        <v>18</v>
      </c>
      <c r="T631">
        <v>1</v>
      </c>
      <c r="U631">
        <v>0</v>
      </c>
      <c r="V631">
        <v>1.88</v>
      </c>
    </row>
    <row r="632" spans="1:22">
      <c r="A632" s="1" t="s">
        <v>678</v>
      </c>
      <c r="B632" s="1" t="s">
        <v>34</v>
      </c>
      <c r="C632" s="2">
        <v>46280</v>
      </c>
      <c r="D632" s="3">
        <v>0.78125</v>
      </c>
      <c r="E632">
        <v>90</v>
      </c>
      <c r="F632">
        <v>91</v>
      </c>
      <c r="G632">
        <v>4</v>
      </c>
      <c r="H632" s="1" t="s">
        <v>35</v>
      </c>
      <c r="I632">
        <v>12.2</v>
      </c>
      <c r="J632">
        <v>18</v>
      </c>
      <c r="K632" s="1" t="s">
        <v>36</v>
      </c>
      <c r="L632" s="1" t="s">
        <v>26</v>
      </c>
      <c r="M632">
        <v>0</v>
      </c>
      <c r="N632">
        <v>0</v>
      </c>
      <c r="O632" s="1" t="s">
        <v>27</v>
      </c>
      <c r="P632">
        <v>1</v>
      </c>
      <c r="Q632">
        <v>1</v>
      </c>
      <c r="R632">
        <v>0</v>
      </c>
      <c r="S632">
        <v>18</v>
      </c>
      <c r="T632">
        <v>1</v>
      </c>
      <c r="U632">
        <v>0</v>
      </c>
      <c r="V632">
        <v>7.38</v>
      </c>
    </row>
    <row r="633" spans="1:22">
      <c r="A633" s="1" t="s">
        <v>679</v>
      </c>
      <c r="B633" s="1" t="s">
        <v>34</v>
      </c>
      <c r="C633" s="2">
        <v>46286</v>
      </c>
      <c r="D633" s="3">
        <v>0.51041666666666663</v>
      </c>
      <c r="E633">
        <v>76</v>
      </c>
      <c r="F633">
        <v>77</v>
      </c>
      <c r="G633">
        <v>6</v>
      </c>
      <c r="H633" s="1" t="s">
        <v>35</v>
      </c>
      <c r="I633">
        <v>12.2</v>
      </c>
      <c r="J633">
        <v>18</v>
      </c>
      <c r="K633" s="1" t="s">
        <v>36</v>
      </c>
      <c r="L633" s="1" t="s">
        <v>65</v>
      </c>
      <c r="M633">
        <v>0</v>
      </c>
      <c r="N633">
        <v>0</v>
      </c>
      <c r="O633" s="1" t="s">
        <v>27</v>
      </c>
      <c r="P633">
        <v>1</v>
      </c>
      <c r="Q633">
        <v>1</v>
      </c>
      <c r="R633">
        <v>1</v>
      </c>
      <c r="S633">
        <v>12</v>
      </c>
      <c r="T633">
        <v>0</v>
      </c>
      <c r="U633">
        <v>0</v>
      </c>
      <c r="V633">
        <v>6.23</v>
      </c>
    </row>
    <row r="634" spans="1:22">
      <c r="A634" s="1" t="s">
        <v>680</v>
      </c>
      <c r="B634" s="1" t="s">
        <v>29</v>
      </c>
      <c r="C634" s="2">
        <v>46272</v>
      </c>
      <c r="D634" s="3">
        <v>0.3125</v>
      </c>
      <c r="E634">
        <v>74</v>
      </c>
      <c r="F634">
        <v>69</v>
      </c>
      <c r="G634">
        <v>4</v>
      </c>
      <c r="H634" s="1" t="s">
        <v>30</v>
      </c>
      <c r="I634">
        <v>32</v>
      </c>
      <c r="J634">
        <v>14</v>
      </c>
      <c r="K634" s="1" t="s">
        <v>31</v>
      </c>
      <c r="L634" s="1" t="s">
        <v>65</v>
      </c>
      <c r="M634">
        <v>0</v>
      </c>
      <c r="N634">
        <v>0</v>
      </c>
      <c r="O634" s="1" t="s">
        <v>27</v>
      </c>
      <c r="P634">
        <v>1</v>
      </c>
      <c r="Q634">
        <v>1</v>
      </c>
      <c r="R634">
        <v>21</v>
      </c>
      <c r="S634">
        <v>7</v>
      </c>
      <c r="T634">
        <v>0</v>
      </c>
      <c r="U634">
        <v>0</v>
      </c>
      <c r="V634">
        <v>2.31</v>
      </c>
    </row>
    <row r="635" spans="1:22">
      <c r="A635" s="1" t="s">
        <v>681</v>
      </c>
      <c r="B635" s="1" t="s">
        <v>23</v>
      </c>
      <c r="C635" s="2">
        <v>46274</v>
      </c>
      <c r="D635" s="3">
        <v>0.77083333333333337</v>
      </c>
      <c r="E635">
        <v>71</v>
      </c>
      <c r="F635">
        <v>61</v>
      </c>
      <c r="G635">
        <v>3</v>
      </c>
      <c r="H635" s="1" t="s">
        <v>24</v>
      </c>
      <c r="I635">
        <v>15</v>
      </c>
      <c r="J635">
        <v>16</v>
      </c>
      <c r="K635" s="1" t="s">
        <v>25</v>
      </c>
      <c r="L635" s="1" t="s">
        <v>69</v>
      </c>
      <c r="M635">
        <v>0</v>
      </c>
      <c r="N635">
        <v>0</v>
      </c>
      <c r="O635" s="1" t="s">
        <v>27</v>
      </c>
      <c r="P635">
        <v>1</v>
      </c>
      <c r="Q635">
        <v>1</v>
      </c>
      <c r="R635">
        <v>6</v>
      </c>
      <c r="S635">
        <v>18</v>
      </c>
      <c r="T635">
        <v>1</v>
      </c>
      <c r="U635">
        <v>0</v>
      </c>
      <c r="V635">
        <v>4.7300000000000004</v>
      </c>
    </row>
    <row r="636" spans="1:22">
      <c r="A636" s="1" t="s">
        <v>682</v>
      </c>
      <c r="B636" s="1" t="s">
        <v>59</v>
      </c>
      <c r="C636" s="2">
        <v>46284</v>
      </c>
      <c r="D636" s="3">
        <v>0.875</v>
      </c>
      <c r="E636">
        <v>82</v>
      </c>
      <c r="F636">
        <v>88</v>
      </c>
      <c r="G636">
        <v>3</v>
      </c>
      <c r="H636" s="1" t="s">
        <v>60</v>
      </c>
      <c r="I636">
        <v>24.8</v>
      </c>
      <c r="J636">
        <v>28</v>
      </c>
      <c r="K636" s="1" t="s">
        <v>61</v>
      </c>
      <c r="L636" s="1" t="s">
        <v>32</v>
      </c>
      <c r="M636">
        <v>1</v>
      </c>
      <c r="N636">
        <v>1</v>
      </c>
      <c r="O636" s="1" t="s">
        <v>27</v>
      </c>
      <c r="P636">
        <v>1</v>
      </c>
      <c r="Q636">
        <v>1</v>
      </c>
      <c r="R636">
        <v>0</v>
      </c>
      <c r="S636">
        <v>21</v>
      </c>
      <c r="T636">
        <v>0</v>
      </c>
      <c r="U636">
        <v>0</v>
      </c>
      <c r="V636">
        <v>3.31</v>
      </c>
    </row>
    <row r="637" spans="1:22">
      <c r="A637" s="1" t="s">
        <v>683</v>
      </c>
      <c r="B637" s="1" t="s">
        <v>45</v>
      </c>
      <c r="C637" s="2">
        <v>46281</v>
      </c>
      <c r="D637" s="3">
        <v>0.53125</v>
      </c>
      <c r="E637">
        <v>144</v>
      </c>
      <c r="F637">
        <v>144</v>
      </c>
      <c r="G637">
        <v>5</v>
      </c>
      <c r="H637" s="1" t="s">
        <v>46</v>
      </c>
      <c r="I637">
        <v>18.5</v>
      </c>
      <c r="J637">
        <v>22</v>
      </c>
      <c r="K637" s="1" t="s">
        <v>47</v>
      </c>
      <c r="L637" s="1" t="s">
        <v>69</v>
      </c>
      <c r="M637">
        <v>0</v>
      </c>
      <c r="N637">
        <v>0</v>
      </c>
      <c r="O637" s="1" t="s">
        <v>27</v>
      </c>
      <c r="P637">
        <v>1</v>
      </c>
      <c r="Q637">
        <v>1</v>
      </c>
      <c r="R637">
        <v>0</v>
      </c>
      <c r="S637">
        <v>12</v>
      </c>
      <c r="T637">
        <v>0</v>
      </c>
      <c r="U637">
        <v>0</v>
      </c>
      <c r="V637">
        <v>7.78</v>
      </c>
    </row>
    <row r="638" spans="1:22">
      <c r="A638" s="1" t="s">
        <v>684</v>
      </c>
      <c r="B638" s="1" t="s">
        <v>34</v>
      </c>
      <c r="C638" s="2">
        <v>46273</v>
      </c>
      <c r="D638" s="3">
        <v>0.76041666666666663</v>
      </c>
      <c r="E638">
        <v>142</v>
      </c>
      <c r="F638">
        <v>148</v>
      </c>
      <c r="G638">
        <v>6</v>
      </c>
      <c r="H638" s="1" t="s">
        <v>35</v>
      </c>
      <c r="I638">
        <v>12.2</v>
      </c>
      <c r="J638">
        <v>18</v>
      </c>
      <c r="K638" s="1" t="s">
        <v>36</v>
      </c>
      <c r="L638" s="1" t="s">
        <v>26</v>
      </c>
      <c r="M638">
        <v>0</v>
      </c>
      <c r="N638">
        <v>0</v>
      </c>
      <c r="O638" s="1" t="s">
        <v>27</v>
      </c>
      <c r="P638">
        <v>1</v>
      </c>
      <c r="Q638">
        <v>1</v>
      </c>
      <c r="R638">
        <v>3</v>
      </c>
      <c r="S638">
        <v>18</v>
      </c>
      <c r="T638">
        <v>1</v>
      </c>
      <c r="U638">
        <v>0</v>
      </c>
      <c r="V638">
        <v>11.64</v>
      </c>
    </row>
    <row r="639" spans="1:22">
      <c r="A639" s="1" t="s">
        <v>685</v>
      </c>
      <c r="B639" s="1" t="s">
        <v>29</v>
      </c>
      <c r="C639" s="2">
        <v>46283</v>
      </c>
      <c r="D639" s="3">
        <v>0.4375</v>
      </c>
      <c r="E639">
        <v>70</v>
      </c>
      <c r="F639">
        <v>68</v>
      </c>
      <c r="G639">
        <v>3</v>
      </c>
      <c r="H639" s="1" t="s">
        <v>30</v>
      </c>
      <c r="I639">
        <v>32</v>
      </c>
      <c r="J639">
        <v>14</v>
      </c>
      <c r="K639" s="1" t="s">
        <v>31</v>
      </c>
      <c r="L639" s="1" t="s">
        <v>49</v>
      </c>
      <c r="M639">
        <v>0</v>
      </c>
      <c r="N639">
        <v>0</v>
      </c>
      <c r="O639" s="1" t="s">
        <v>27</v>
      </c>
      <c r="P639">
        <v>1</v>
      </c>
      <c r="Q639">
        <v>1</v>
      </c>
      <c r="R639">
        <v>2</v>
      </c>
      <c r="S639">
        <v>10</v>
      </c>
      <c r="T639">
        <v>1</v>
      </c>
      <c r="U639">
        <v>0</v>
      </c>
      <c r="V639">
        <v>2.19</v>
      </c>
    </row>
    <row r="640" spans="1:22">
      <c r="A640" s="1" t="s">
        <v>686</v>
      </c>
      <c r="B640" s="1" t="s">
        <v>45</v>
      </c>
      <c r="C640" s="2">
        <v>46292</v>
      </c>
      <c r="D640" s="3">
        <v>0.83333333333333337</v>
      </c>
      <c r="E640">
        <v>95</v>
      </c>
      <c r="F640">
        <v>102</v>
      </c>
      <c r="G640">
        <v>4</v>
      </c>
      <c r="H640" s="1" t="s">
        <v>46</v>
      </c>
      <c r="I640">
        <v>18.5</v>
      </c>
      <c r="J640">
        <v>22</v>
      </c>
      <c r="K640" s="1" t="s">
        <v>47</v>
      </c>
      <c r="L640" s="1" t="s">
        <v>38</v>
      </c>
      <c r="M640">
        <v>1</v>
      </c>
      <c r="N640">
        <v>0</v>
      </c>
      <c r="O640" s="1" t="s">
        <v>134</v>
      </c>
      <c r="P640">
        <v>1</v>
      </c>
      <c r="Q640">
        <v>1</v>
      </c>
      <c r="R640">
        <v>10</v>
      </c>
      <c r="S640">
        <v>20</v>
      </c>
      <c r="T640">
        <v>0</v>
      </c>
      <c r="U640">
        <v>1</v>
      </c>
      <c r="V640">
        <v>5.14</v>
      </c>
    </row>
    <row r="641" spans="1:22">
      <c r="A641" s="1" t="s">
        <v>687</v>
      </c>
      <c r="B641" s="1" t="s">
        <v>29</v>
      </c>
      <c r="C641" s="2">
        <v>46288</v>
      </c>
      <c r="D641" s="3">
        <v>0.77083333333333337</v>
      </c>
      <c r="E641">
        <v>67</v>
      </c>
      <c r="F641">
        <v>70</v>
      </c>
      <c r="G641">
        <v>3</v>
      </c>
      <c r="H641" s="1" t="s">
        <v>30</v>
      </c>
      <c r="I641">
        <v>32</v>
      </c>
      <c r="J641">
        <v>14</v>
      </c>
      <c r="K641" s="1" t="s">
        <v>31</v>
      </c>
      <c r="L641" s="1" t="s">
        <v>69</v>
      </c>
      <c r="M641">
        <v>0</v>
      </c>
      <c r="N641">
        <v>0</v>
      </c>
      <c r="O641" s="1" t="s">
        <v>27</v>
      </c>
      <c r="P641">
        <v>1</v>
      </c>
      <c r="Q641">
        <v>1</v>
      </c>
      <c r="R641">
        <v>1</v>
      </c>
      <c r="S641">
        <v>18</v>
      </c>
      <c r="T641">
        <v>1</v>
      </c>
      <c r="U641">
        <v>0</v>
      </c>
      <c r="V641">
        <v>2.09</v>
      </c>
    </row>
    <row r="642" spans="1:22">
      <c r="A642" s="1" t="s">
        <v>688</v>
      </c>
      <c r="B642" s="1" t="s">
        <v>23</v>
      </c>
      <c r="C642" s="2">
        <v>46294</v>
      </c>
      <c r="D642" s="3">
        <v>0.30208333333333331</v>
      </c>
      <c r="E642">
        <v>169</v>
      </c>
      <c r="F642">
        <v>163</v>
      </c>
      <c r="G642">
        <v>6</v>
      </c>
      <c r="H642" s="1" t="s">
        <v>24</v>
      </c>
      <c r="I642">
        <v>15</v>
      </c>
      <c r="J642">
        <v>16</v>
      </c>
      <c r="K642" s="1" t="s">
        <v>25</v>
      </c>
      <c r="L642" s="1" t="s">
        <v>26</v>
      </c>
      <c r="M642">
        <v>0</v>
      </c>
      <c r="N642">
        <v>0</v>
      </c>
      <c r="O642" s="1" t="s">
        <v>27</v>
      </c>
      <c r="P642">
        <v>1</v>
      </c>
      <c r="Q642">
        <v>1</v>
      </c>
      <c r="R642">
        <v>1</v>
      </c>
      <c r="S642">
        <v>7</v>
      </c>
      <c r="T642">
        <v>0</v>
      </c>
      <c r="U642">
        <v>0</v>
      </c>
      <c r="V642">
        <v>11.27</v>
      </c>
    </row>
    <row r="643" spans="1:22">
      <c r="A643" s="1" t="s">
        <v>689</v>
      </c>
      <c r="B643" s="1" t="s">
        <v>45</v>
      </c>
      <c r="C643" s="2">
        <v>46283</v>
      </c>
      <c r="D643" s="3">
        <v>0.57291666666666663</v>
      </c>
      <c r="E643">
        <v>155</v>
      </c>
      <c r="F643">
        <v>140</v>
      </c>
      <c r="G643">
        <v>6</v>
      </c>
      <c r="H643" s="1" t="s">
        <v>46</v>
      </c>
      <c r="I643">
        <v>18.5</v>
      </c>
      <c r="J643">
        <v>22</v>
      </c>
      <c r="K643" s="1" t="s">
        <v>47</v>
      </c>
      <c r="L643" s="1" t="s">
        <v>49</v>
      </c>
      <c r="M643">
        <v>0</v>
      </c>
      <c r="N643">
        <v>0</v>
      </c>
      <c r="O643" s="1" t="s">
        <v>27</v>
      </c>
      <c r="P643">
        <v>1</v>
      </c>
      <c r="Q643">
        <v>1</v>
      </c>
      <c r="R643">
        <v>6</v>
      </c>
      <c r="S643">
        <v>13</v>
      </c>
      <c r="T643">
        <v>0</v>
      </c>
      <c r="U643">
        <v>0</v>
      </c>
      <c r="V643">
        <v>8.3800000000000008</v>
      </c>
    </row>
    <row r="644" spans="1:22">
      <c r="A644" s="1" t="s">
        <v>690</v>
      </c>
      <c r="B644" s="1" t="s">
        <v>45</v>
      </c>
      <c r="C644" s="2">
        <v>46295</v>
      </c>
      <c r="D644" s="3">
        <v>0.72916666666666663</v>
      </c>
      <c r="E644">
        <v>98</v>
      </c>
      <c r="F644">
        <v>98</v>
      </c>
      <c r="G644">
        <v>4</v>
      </c>
      <c r="H644" s="1" t="s">
        <v>46</v>
      </c>
      <c r="I644">
        <v>18.5</v>
      </c>
      <c r="J644">
        <v>22</v>
      </c>
      <c r="K644" s="1" t="s">
        <v>47</v>
      </c>
      <c r="L644" s="1" t="s">
        <v>69</v>
      </c>
      <c r="M644">
        <v>0</v>
      </c>
      <c r="N644">
        <v>0</v>
      </c>
      <c r="O644" s="1" t="s">
        <v>27</v>
      </c>
      <c r="P644">
        <v>1</v>
      </c>
      <c r="Q644">
        <v>1</v>
      </c>
      <c r="R644">
        <v>1</v>
      </c>
      <c r="S644">
        <v>17</v>
      </c>
      <c r="T644">
        <v>1</v>
      </c>
      <c r="U644">
        <v>0</v>
      </c>
      <c r="V644">
        <v>5.3</v>
      </c>
    </row>
    <row r="645" spans="1:22">
      <c r="A645" s="1" t="s">
        <v>691</v>
      </c>
      <c r="B645" s="1" t="s">
        <v>34</v>
      </c>
      <c r="C645" s="2">
        <v>46285</v>
      </c>
      <c r="D645" s="3">
        <v>0.77083333333333337</v>
      </c>
      <c r="E645">
        <v>165</v>
      </c>
      <c r="F645">
        <v>175</v>
      </c>
      <c r="G645">
        <v>5</v>
      </c>
      <c r="H645" s="1" t="s">
        <v>35</v>
      </c>
      <c r="I645">
        <v>12.2</v>
      </c>
      <c r="J645">
        <v>18</v>
      </c>
      <c r="K645" s="1" t="s">
        <v>36</v>
      </c>
      <c r="L645" s="1" t="s">
        <v>38</v>
      </c>
      <c r="M645">
        <v>1</v>
      </c>
      <c r="N645">
        <v>0</v>
      </c>
      <c r="O645" s="1" t="s">
        <v>52</v>
      </c>
      <c r="P645">
        <v>1</v>
      </c>
      <c r="Q645">
        <v>1</v>
      </c>
      <c r="R645">
        <v>0</v>
      </c>
      <c r="S645">
        <v>18</v>
      </c>
      <c r="T645">
        <v>1</v>
      </c>
      <c r="U645">
        <v>1</v>
      </c>
      <c r="V645">
        <v>13.52</v>
      </c>
    </row>
    <row r="646" spans="1:22">
      <c r="A646" s="1" t="s">
        <v>692</v>
      </c>
      <c r="B646" s="1" t="s">
        <v>45</v>
      </c>
      <c r="C646" s="2">
        <v>46272</v>
      </c>
      <c r="D646" s="3">
        <v>0.5625</v>
      </c>
      <c r="E646">
        <v>69</v>
      </c>
      <c r="F646">
        <v>70</v>
      </c>
      <c r="G646">
        <v>4</v>
      </c>
      <c r="H646" s="1" t="s">
        <v>46</v>
      </c>
      <c r="I646">
        <v>18.5</v>
      </c>
      <c r="J646">
        <v>22</v>
      </c>
      <c r="K646" s="1" t="s">
        <v>47</v>
      </c>
      <c r="L646" s="1" t="s">
        <v>65</v>
      </c>
      <c r="M646">
        <v>0</v>
      </c>
      <c r="N646">
        <v>0</v>
      </c>
      <c r="O646" s="1" t="s">
        <v>27</v>
      </c>
      <c r="P646">
        <v>1</v>
      </c>
      <c r="Q646">
        <v>1</v>
      </c>
      <c r="R646">
        <v>0</v>
      </c>
      <c r="S646">
        <v>13</v>
      </c>
      <c r="T646">
        <v>0</v>
      </c>
      <c r="U646">
        <v>0</v>
      </c>
      <c r="V646">
        <v>3.73</v>
      </c>
    </row>
    <row r="647" spans="1:22">
      <c r="A647" s="1" t="s">
        <v>693</v>
      </c>
      <c r="B647" s="1" t="s">
        <v>45</v>
      </c>
      <c r="C647" s="2">
        <v>46268</v>
      </c>
      <c r="D647" s="3">
        <v>0.82291666666666663</v>
      </c>
      <c r="E647">
        <v>128</v>
      </c>
      <c r="F647">
        <v>126</v>
      </c>
      <c r="G647">
        <v>5</v>
      </c>
      <c r="H647" s="1" t="s">
        <v>46</v>
      </c>
      <c r="I647">
        <v>18.5</v>
      </c>
      <c r="J647">
        <v>22</v>
      </c>
      <c r="K647" s="1" t="s">
        <v>47</v>
      </c>
      <c r="L647" s="1" t="s">
        <v>56</v>
      </c>
      <c r="M647">
        <v>0</v>
      </c>
      <c r="N647">
        <v>0</v>
      </c>
      <c r="O647" s="1" t="s">
        <v>27</v>
      </c>
      <c r="P647">
        <v>1</v>
      </c>
      <c r="Q647">
        <v>1</v>
      </c>
      <c r="R647">
        <v>0</v>
      </c>
      <c r="S647">
        <v>19</v>
      </c>
      <c r="T647">
        <v>1</v>
      </c>
      <c r="U647">
        <v>0</v>
      </c>
      <c r="V647">
        <v>6.92</v>
      </c>
    </row>
    <row r="648" spans="1:22">
      <c r="A648" s="1" t="s">
        <v>694</v>
      </c>
      <c r="B648" s="1" t="s">
        <v>45</v>
      </c>
      <c r="C648" s="2">
        <v>46283</v>
      </c>
      <c r="D648" s="3">
        <v>0.78125</v>
      </c>
      <c r="E648">
        <v>98</v>
      </c>
      <c r="F648">
        <v>92</v>
      </c>
      <c r="G648">
        <v>5</v>
      </c>
      <c r="H648" s="1" t="s">
        <v>46</v>
      </c>
      <c r="I648">
        <v>18.5</v>
      </c>
      <c r="J648">
        <v>22</v>
      </c>
      <c r="K648" s="1" t="s">
        <v>47</v>
      </c>
      <c r="L648" s="1" t="s">
        <v>49</v>
      </c>
      <c r="M648">
        <v>0</v>
      </c>
      <c r="N648">
        <v>0</v>
      </c>
      <c r="O648" s="1" t="s">
        <v>27</v>
      </c>
      <c r="P648">
        <v>1</v>
      </c>
      <c r="Q648">
        <v>1</v>
      </c>
      <c r="R648">
        <v>2</v>
      </c>
      <c r="S648">
        <v>18</v>
      </c>
      <c r="T648">
        <v>1</v>
      </c>
      <c r="U648">
        <v>0</v>
      </c>
      <c r="V648">
        <v>5.3</v>
      </c>
    </row>
    <row r="649" spans="1:22">
      <c r="A649" s="1" t="s">
        <v>695</v>
      </c>
      <c r="B649" s="1" t="s">
        <v>59</v>
      </c>
      <c r="C649" s="2">
        <v>46292</v>
      </c>
      <c r="D649" s="3">
        <v>0.41666666666666669</v>
      </c>
      <c r="E649">
        <v>168</v>
      </c>
      <c r="F649">
        <v>159</v>
      </c>
      <c r="G649">
        <v>5</v>
      </c>
      <c r="H649" s="1" t="s">
        <v>60</v>
      </c>
      <c r="I649">
        <v>24.8</v>
      </c>
      <c r="J649">
        <v>28</v>
      </c>
      <c r="K649" s="1" t="s">
        <v>61</v>
      </c>
      <c r="L649" s="1" t="s">
        <v>38</v>
      </c>
      <c r="M649">
        <v>1</v>
      </c>
      <c r="N649">
        <v>0</v>
      </c>
      <c r="O649" s="1" t="s">
        <v>134</v>
      </c>
      <c r="P649">
        <v>1</v>
      </c>
      <c r="Q649">
        <v>1</v>
      </c>
      <c r="R649">
        <v>3</v>
      </c>
      <c r="S649">
        <v>10</v>
      </c>
      <c r="T649">
        <v>1</v>
      </c>
      <c r="U649">
        <v>1</v>
      </c>
      <c r="V649">
        <v>6.77</v>
      </c>
    </row>
    <row r="650" spans="1:22">
      <c r="A650" s="1" t="s">
        <v>696</v>
      </c>
      <c r="B650" s="1" t="s">
        <v>45</v>
      </c>
      <c r="C650" s="2">
        <v>46275</v>
      </c>
      <c r="D650" s="3">
        <v>0.36458333333333331</v>
      </c>
      <c r="E650">
        <v>77</v>
      </c>
      <c r="F650">
        <v>79</v>
      </c>
      <c r="G650">
        <v>3</v>
      </c>
      <c r="H650" s="1" t="s">
        <v>46</v>
      </c>
      <c r="I650">
        <v>18.5</v>
      </c>
      <c r="J650">
        <v>22</v>
      </c>
      <c r="K650" s="1" t="s">
        <v>47</v>
      </c>
      <c r="L650" s="1" t="s">
        <v>56</v>
      </c>
      <c r="M650">
        <v>0</v>
      </c>
      <c r="N650">
        <v>0</v>
      </c>
      <c r="O650" s="1" t="s">
        <v>27</v>
      </c>
      <c r="P650">
        <v>1</v>
      </c>
      <c r="Q650">
        <v>1</v>
      </c>
      <c r="R650">
        <v>6</v>
      </c>
      <c r="S650">
        <v>8</v>
      </c>
      <c r="T650">
        <v>1</v>
      </c>
      <c r="U650">
        <v>0</v>
      </c>
      <c r="V650">
        <v>4.16</v>
      </c>
    </row>
    <row r="651" spans="1:22">
      <c r="A651" s="1" t="s">
        <v>697</v>
      </c>
      <c r="B651" s="1" t="s">
        <v>29</v>
      </c>
      <c r="C651" s="2">
        <v>46272</v>
      </c>
      <c r="D651" s="3">
        <v>0.88541666666666663</v>
      </c>
      <c r="E651">
        <v>121</v>
      </c>
      <c r="F651">
        <v>117</v>
      </c>
      <c r="G651">
        <v>6</v>
      </c>
      <c r="H651" s="1" t="s">
        <v>30</v>
      </c>
      <c r="I651">
        <v>32</v>
      </c>
      <c r="J651">
        <v>14</v>
      </c>
      <c r="K651" s="1" t="s">
        <v>31</v>
      </c>
      <c r="L651" s="1" t="s">
        <v>65</v>
      </c>
      <c r="M651">
        <v>0</v>
      </c>
      <c r="N651">
        <v>0</v>
      </c>
      <c r="O651" s="1" t="s">
        <v>27</v>
      </c>
      <c r="P651">
        <v>1</v>
      </c>
      <c r="Q651">
        <v>1</v>
      </c>
      <c r="R651">
        <v>0</v>
      </c>
      <c r="S651">
        <v>21</v>
      </c>
      <c r="T651">
        <v>0</v>
      </c>
      <c r="U651">
        <v>0</v>
      </c>
      <c r="V651">
        <v>3.78</v>
      </c>
    </row>
    <row r="652" spans="1:22">
      <c r="A652" s="1" t="s">
        <v>698</v>
      </c>
      <c r="B652" s="1" t="s">
        <v>45</v>
      </c>
      <c r="C652" s="2">
        <v>46282</v>
      </c>
      <c r="D652" s="3">
        <v>0.57291666666666663</v>
      </c>
      <c r="E652">
        <v>152</v>
      </c>
      <c r="F652">
        <v>163</v>
      </c>
      <c r="G652">
        <v>6</v>
      </c>
      <c r="H652" s="1" t="s">
        <v>46</v>
      </c>
      <c r="I652">
        <v>18.5</v>
      </c>
      <c r="J652">
        <v>22</v>
      </c>
      <c r="K652" s="1" t="s">
        <v>47</v>
      </c>
      <c r="L652" s="1" t="s">
        <v>56</v>
      </c>
      <c r="M652">
        <v>0</v>
      </c>
      <c r="N652">
        <v>0</v>
      </c>
      <c r="O652" s="1" t="s">
        <v>27</v>
      </c>
      <c r="P652">
        <v>1</v>
      </c>
      <c r="Q652">
        <v>1</v>
      </c>
      <c r="R652">
        <v>1</v>
      </c>
      <c r="S652">
        <v>13</v>
      </c>
      <c r="T652">
        <v>0</v>
      </c>
      <c r="U652">
        <v>0</v>
      </c>
      <c r="V652">
        <v>8.2200000000000006</v>
      </c>
    </row>
    <row r="653" spans="1:22">
      <c r="A653" s="1" t="s">
        <v>699</v>
      </c>
      <c r="B653" s="1" t="s">
        <v>23</v>
      </c>
      <c r="C653" s="2">
        <v>46279</v>
      </c>
      <c r="D653" s="3">
        <v>0.23958333333333334</v>
      </c>
      <c r="E653">
        <v>119</v>
      </c>
      <c r="F653">
        <v>121</v>
      </c>
      <c r="G653">
        <v>5</v>
      </c>
      <c r="H653" s="1" t="s">
        <v>24</v>
      </c>
      <c r="I653">
        <v>15</v>
      </c>
      <c r="J653">
        <v>16</v>
      </c>
      <c r="K653" s="1" t="s">
        <v>25</v>
      </c>
      <c r="L653" s="1" t="s">
        <v>65</v>
      </c>
      <c r="M653">
        <v>0</v>
      </c>
      <c r="N653">
        <v>0</v>
      </c>
      <c r="O653" s="1" t="s">
        <v>27</v>
      </c>
      <c r="P653">
        <v>1</v>
      </c>
      <c r="Q653">
        <v>1</v>
      </c>
      <c r="R653">
        <v>24</v>
      </c>
      <c r="S653">
        <v>5</v>
      </c>
      <c r="T653">
        <v>0</v>
      </c>
      <c r="U653">
        <v>0</v>
      </c>
      <c r="V653">
        <v>7.93</v>
      </c>
    </row>
    <row r="654" spans="1:22">
      <c r="A654" s="1" t="s">
        <v>700</v>
      </c>
      <c r="B654" s="1" t="s">
        <v>29</v>
      </c>
      <c r="C654" s="2">
        <v>46289</v>
      </c>
      <c r="D654" s="3">
        <v>0.77083333333333337</v>
      </c>
      <c r="E654">
        <v>99</v>
      </c>
      <c r="F654">
        <v>101</v>
      </c>
      <c r="G654">
        <v>4</v>
      </c>
      <c r="H654" s="1" t="s">
        <v>30</v>
      </c>
      <c r="I654">
        <v>32</v>
      </c>
      <c r="J654">
        <v>14</v>
      </c>
      <c r="K654" s="1" t="s">
        <v>31</v>
      </c>
      <c r="L654" s="1" t="s">
        <v>56</v>
      </c>
      <c r="M654">
        <v>0</v>
      </c>
      <c r="N654">
        <v>0</v>
      </c>
      <c r="O654" s="1" t="s">
        <v>27</v>
      </c>
      <c r="P654">
        <v>1</v>
      </c>
      <c r="Q654">
        <v>1</v>
      </c>
      <c r="R654">
        <v>4</v>
      </c>
      <c r="S654">
        <v>18</v>
      </c>
      <c r="T654">
        <v>1</v>
      </c>
      <c r="U654">
        <v>0</v>
      </c>
      <c r="V654">
        <v>3.09</v>
      </c>
    </row>
    <row r="655" spans="1:22">
      <c r="A655" s="1" t="s">
        <v>701</v>
      </c>
      <c r="B655" s="1" t="s">
        <v>45</v>
      </c>
      <c r="C655" s="2">
        <v>46268</v>
      </c>
      <c r="D655" s="3">
        <v>0.29166666666666669</v>
      </c>
      <c r="E655">
        <v>53</v>
      </c>
      <c r="F655">
        <v>42</v>
      </c>
      <c r="G655">
        <v>4</v>
      </c>
      <c r="H655" s="1" t="s">
        <v>46</v>
      </c>
      <c r="I655">
        <v>18.5</v>
      </c>
      <c r="J655">
        <v>22</v>
      </c>
      <c r="K655" s="1" t="s">
        <v>47</v>
      </c>
      <c r="L655" s="1" t="s">
        <v>56</v>
      </c>
      <c r="M655">
        <v>0</v>
      </c>
      <c r="N655">
        <v>0</v>
      </c>
      <c r="O655" s="1" t="s">
        <v>27</v>
      </c>
      <c r="P655">
        <v>1</v>
      </c>
      <c r="Q655">
        <v>1</v>
      </c>
      <c r="R655">
        <v>1</v>
      </c>
      <c r="S655">
        <v>7</v>
      </c>
      <c r="T655">
        <v>0</v>
      </c>
      <c r="U655">
        <v>0</v>
      </c>
      <c r="V655">
        <v>2.86</v>
      </c>
    </row>
    <row r="656" spans="1:22">
      <c r="A656" s="1" t="s">
        <v>702</v>
      </c>
      <c r="B656" s="1" t="s">
        <v>34</v>
      </c>
      <c r="C656" s="2">
        <v>46277</v>
      </c>
      <c r="D656" s="3">
        <v>0.76041666666666663</v>
      </c>
      <c r="E656">
        <v>149</v>
      </c>
      <c r="F656">
        <v>146</v>
      </c>
      <c r="G656">
        <v>5</v>
      </c>
      <c r="H656" s="1" t="s">
        <v>35</v>
      </c>
      <c r="I656">
        <v>12.2</v>
      </c>
      <c r="J656">
        <v>18</v>
      </c>
      <c r="K656" s="1" t="s">
        <v>36</v>
      </c>
      <c r="L656" s="1" t="s">
        <v>32</v>
      </c>
      <c r="M656">
        <v>1</v>
      </c>
      <c r="N656">
        <v>0</v>
      </c>
      <c r="O656" s="1" t="s">
        <v>40</v>
      </c>
      <c r="P656">
        <v>1</v>
      </c>
      <c r="Q656">
        <v>1</v>
      </c>
      <c r="R656">
        <v>4</v>
      </c>
      <c r="S656">
        <v>18</v>
      </c>
      <c r="T656">
        <v>1</v>
      </c>
      <c r="U656">
        <v>1</v>
      </c>
      <c r="V656">
        <v>12.21</v>
      </c>
    </row>
    <row r="657" spans="1:22">
      <c r="A657" s="1" t="s">
        <v>703</v>
      </c>
      <c r="B657" s="1" t="s">
        <v>45</v>
      </c>
      <c r="C657" s="2">
        <v>46293</v>
      </c>
      <c r="D657" s="3">
        <v>0.57291666666666663</v>
      </c>
      <c r="E657">
        <v>50</v>
      </c>
      <c r="F657">
        <v>55</v>
      </c>
      <c r="G657">
        <v>3</v>
      </c>
      <c r="H657" s="1" t="s">
        <v>46</v>
      </c>
      <c r="I657">
        <v>18.5</v>
      </c>
      <c r="J657">
        <v>22</v>
      </c>
      <c r="K657" s="1" t="s">
        <v>47</v>
      </c>
      <c r="L657" s="1" t="s">
        <v>65</v>
      </c>
      <c r="M657">
        <v>0</v>
      </c>
      <c r="N657">
        <v>0</v>
      </c>
      <c r="O657" s="1" t="s">
        <v>27</v>
      </c>
      <c r="P657">
        <v>1</v>
      </c>
      <c r="Q657">
        <v>1</v>
      </c>
      <c r="R657">
        <v>4</v>
      </c>
      <c r="S657">
        <v>13</v>
      </c>
      <c r="T657">
        <v>0</v>
      </c>
      <c r="U657">
        <v>0</v>
      </c>
      <c r="V657">
        <v>2.7</v>
      </c>
    </row>
    <row r="658" spans="1:22">
      <c r="A658" s="1" t="s">
        <v>704</v>
      </c>
      <c r="B658" s="1" t="s">
        <v>34</v>
      </c>
      <c r="C658" s="2">
        <v>46278</v>
      </c>
      <c r="D658" s="3">
        <v>0.36458333333333331</v>
      </c>
      <c r="E658">
        <v>58</v>
      </c>
      <c r="F658">
        <v>61</v>
      </c>
      <c r="G658">
        <v>3</v>
      </c>
      <c r="H658" s="1" t="s">
        <v>35</v>
      </c>
      <c r="I658">
        <v>12.2</v>
      </c>
      <c r="J658">
        <v>18</v>
      </c>
      <c r="K658" s="1" t="s">
        <v>36</v>
      </c>
      <c r="L658" s="1" t="s">
        <v>38</v>
      </c>
      <c r="M658">
        <v>1</v>
      </c>
      <c r="N658">
        <v>0</v>
      </c>
      <c r="O658" s="1" t="s">
        <v>27</v>
      </c>
      <c r="P658">
        <v>1</v>
      </c>
      <c r="Q658">
        <v>1</v>
      </c>
      <c r="R658">
        <v>2</v>
      </c>
      <c r="S658">
        <v>8</v>
      </c>
      <c r="T658">
        <v>1</v>
      </c>
      <c r="U658">
        <v>0</v>
      </c>
      <c r="V658">
        <v>4.75</v>
      </c>
    </row>
    <row r="659" spans="1:22">
      <c r="A659" s="1" t="s">
        <v>705</v>
      </c>
      <c r="B659" s="1" t="s">
        <v>29</v>
      </c>
      <c r="C659" s="2">
        <v>46267</v>
      </c>
      <c r="D659" s="3">
        <v>0.51041666666666663</v>
      </c>
      <c r="E659">
        <v>124</v>
      </c>
      <c r="F659">
        <v>115</v>
      </c>
      <c r="G659">
        <v>6</v>
      </c>
      <c r="H659" s="1" t="s">
        <v>30</v>
      </c>
      <c r="I659">
        <v>32</v>
      </c>
      <c r="J659">
        <v>14</v>
      </c>
      <c r="K659" s="1" t="s">
        <v>31</v>
      </c>
      <c r="L659" s="1" t="s">
        <v>69</v>
      </c>
      <c r="M659">
        <v>0</v>
      </c>
      <c r="N659">
        <v>0</v>
      </c>
      <c r="O659" s="1" t="s">
        <v>27</v>
      </c>
      <c r="P659">
        <v>1</v>
      </c>
      <c r="Q659">
        <v>1</v>
      </c>
      <c r="R659">
        <v>3</v>
      </c>
      <c r="S659">
        <v>12</v>
      </c>
      <c r="T659">
        <v>0</v>
      </c>
      <c r="U659">
        <v>0</v>
      </c>
      <c r="V659">
        <v>3.88</v>
      </c>
    </row>
    <row r="660" spans="1:22">
      <c r="A660" s="1" t="s">
        <v>706</v>
      </c>
      <c r="B660" s="1" t="s">
        <v>34</v>
      </c>
      <c r="C660" s="2">
        <v>46268</v>
      </c>
      <c r="D660" s="3">
        <v>0.54166666666666663</v>
      </c>
      <c r="E660">
        <v>105</v>
      </c>
      <c r="F660">
        <v>100</v>
      </c>
      <c r="G660">
        <v>6</v>
      </c>
      <c r="H660" s="1" t="s">
        <v>35</v>
      </c>
      <c r="I660">
        <v>12.2</v>
      </c>
      <c r="J660">
        <v>18</v>
      </c>
      <c r="K660" s="1" t="s">
        <v>36</v>
      </c>
      <c r="L660" s="1" t="s">
        <v>56</v>
      </c>
      <c r="M660">
        <v>0</v>
      </c>
      <c r="N660">
        <v>0</v>
      </c>
      <c r="O660" s="1" t="s">
        <v>27</v>
      </c>
      <c r="P660">
        <v>1</v>
      </c>
      <c r="Q660">
        <v>1</v>
      </c>
      <c r="R660">
        <v>9</v>
      </c>
      <c r="S660">
        <v>13</v>
      </c>
      <c r="T660">
        <v>0</v>
      </c>
      <c r="U660">
        <v>0</v>
      </c>
      <c r="V660">
        <v>8.61</v>
      </c>
    </row>
    <row r="661" spans="1:22">
      <c r="A661" s="1" t="s">
        <v>707</v>
      </c>
      <c r="B661" s="1" t="s">
        <v>29</v>
      </c>
      <c r="C661" s="2">
        <v>46270</v>
      </c>
      <c r="D661" s="3">
        <v>0.76041666666666663</v>
      </c>
      <c r="E661">
        <v>215</v>
      </c>
      <c r="F661">
        <v>216</v>
      </c>
      <c r="G661">
        <v>7</v>
      </c>
      <c r="H661" s="1" t="s">
        <v>30</v>
      </c>
      <c r="I661">
        <v>32</v>
      </c>
      <c r="J661">
        <v>14</v>
      </c>
      <c r="K661" s="1" t="s">
        <v>31</v>
      </c>
      <c r="L661" s="1" t="s">
        <v>32</v>
      </c>
      <c r="M661">
        <v>1</v>
      </c>
      <c r="N661">
        <v>1</v>
      </c>
      <c r="O661" s="1" t="s">
        <v>27</v>
      </c>
      <c r="P661">
        <v>1</v>
      </c>
      <c r="Q661">
        <v>1</v>
      </c>
      <c r="R661">
        <v>10</v>
      </c>
      <c r="S661">
        <v>18</v>
      </c>
      <c r="T661">
        <v>1</v>
      </c>
      <c r="U661">
        <v>0</v>
      </c>
      <c r="V661">
        <v>6.72</v>
      </c>
    </row>
    <row r="662" spans="1:22">
      <c r="A662" s="1" t="s">
        <v>708</v>
      </c>
      <c r="B662" s="1" t="s">
        <v>45</v>
      </c>
      <c r="C662" s="2">
        <v>46276</v>
      </c>
      <c r="D662" s="3">
        <v>0.57291666666666663</v>
      </c>
      <c r="E662">
        <v>132</v>
      </c>
      <c r="F662">
        <v>131</v>
      </c>
      <c r="G662">
        <v>6</v>
      </c>
      <c r="H662" s="1" t="s">
        <v>46</v>
      </c>
      <c r="I662">
        <v>18.5</v>
      </c>
      <c r="J662">
        <v>22</v>
      </c>
      <c r="K662" s="1" t="s">
        <v>47</v>
      </c>
      <c r="L662" s="1" t="s">
        <v>49</v>
      </c>
      <c r="M662">
        <v>0</v>
      </c>
      <c r="N662">
        <v>0</v>
      </c>
      <c r="O662" s="1" t="s">
        <v>27</v>
      </c>
      <c r="P662">
        <v>1</v>
      </c>
      <c r="Q662">
        <v>1</v>
      </c>
      <c r="R662">
        <v>2</v>
      </c>
      <c r="S662">
        <v>13</v>
      </c>
      <c r="T662">
        <v>0</v>
      </c>
      <c r="U662">
        <v>0</v>
      </c>
      <c r="V662">
        <v>7.14</v>
      </c>
    </row>
    <row r="663" spans="1:22">
      <c r="A663" s="1" t="s">
        <v>709</v>
      </c>
      <c r="B663" s="1" t="s">
        <v>34</v>
      </c>
      <c r="C663" s="2">
        <v>46273</v>
      </c>
      <c r="D663" s="3">
        <v>0.83333333333333337</v>
      </c>
      <c r="E663">
        <v>58</v>
      </c>
      <c r="F663">
        <v>58</v>
      </c>
      <c r="G663">
        <v>3</v>
      </c>
      <c r="H663" s="1" t="s">
        <v>35</v>
      </c>
      <c r="I663">
        <v>12.2</v>
      </c>
      <c r="J663">
        <v>18</v>
      </c>
      <c r="K663" s="1" t="s">
        <v>36</v>
      </c>
      <c r="L663" s="1" t="s">
        <v>26</v>
      </c>
      <c r="M663">
        <v>0</v>
      </c>
      <c r="N663">
        <v>0</v>
      </c>
      <c r="O663" s="1" t="s">
        <v>27</v>
      </c>
      <c r="P663">
        <v>1</v>
      </c>
      <c r="Q663">
        <v>1</v>
      </c>
      <c r="R663">
        <v>4</v>
      </c>
      <c r="S663">
        <v>20</v>
      </c>
      <c r="T663">
        <v>0</v>
      </c>
      <c r="U663">
        <v>0</v>
      </c>
      <c r="V663">
        <v>4.75</v>
      </c>
    </row>
    <row r="664" spans="1:22">
      <c r="A664" s="1" t="s">
        <v>710</v>
      </c>
      <c r="B664" s="1" t="s">
        <v>34</v>
      </c>
      <c r="C664" s="2">
        <v>46291</v>
      </c>
      <c r="D664" s="3">
        <v>0.90625</v>
      </c>
      <c r="E664">
        <v>146</v>
      </c>
      <c r="F664">
        <v>130</v>
      </c>
      <c r="G664">
        <v>7</v>
      </c>
      <c r="H664" s="1" t="s">
        <v>35</v>
      </c>
      <c r="I664">
        <v>12.2</v>
      </c>
      <c r="J664">
        <v>18</v>
      </c>
      <c r="K664" s="1" t="s">
        <v>36</v>
      </c>
      <c r="L664" s="1" t="s">
        <v>32</v>
      </c>
      <c r="M664">
        <v>1</v>
      </c>
      <c r="N664">
        <v>0</v>
      </c>
      <c r="O664" s="1" t="s">
        <v>27</v>
      </c>
      <c r="P664">
        <v>1</v>
      </c>
      <c r="Q664">
        <v>1</v>
      </c>
      <c r="R664">
        <v>3</v>
      </c>
      <c r="S664">
        <v>21</v>
      </c>
      <c r="T664">
        <v>0</v>
      </c>
      <c r="U664">
        <v>0</v>
      </c>
      <c r="V664">
        <v>11.97</v>
      </c>
    </row>
    <row r="665" spans="1:22">
      <c r="A665" s="1" t="s">
        <v>711</v>
      </c>
      <c r="B665" s="1" t="s">
        <v>45</v>
      </c>
      <c r="C665" s="2">
        <v>46288</v>
      </c>
      <c r="D665" s="3">
        <v>0.6875</v>
      </c>
      <c r="E665">
        <v>29</v>
      </c>
      <c r="F665">
        <v>27</v>
      </c>
      <c r="G665">
        <v>4</v>
      </c>
      <c r="H665" s="1" t="s">
        <v>46</v>
      </c>
      <c r="I665">
        <v>18.5</v>
      </c>
      <c r="J665">
        <v>22</v>
      </c>
      <c r="K665" s="1" t="s">
        <v>47</v>
      </c>
      <c r="L665" s="1" t="s">
        <v>69</v>
      </c>
      <c r="M665">
        <v>0</v>
      </c>
      <c r="N665">
        <v>0</v>
      </c>
      <c r="O665" s="1" t="s">
        <v>27</v>
      </c>
      <c r="P665">
        <v>1</v>
      </c>
      <c r="Q665">
        <v>1</v>
      </c>
      <c r="R665">
        <v>7</v>
      </c>
      <c r="S665">
        <v>16</v>
      </c>
      <c r="T665">
        <v>0</v>
      </c>
      <c r="U665">
        <v>0</v>
      </c>
      <c r="V665">
        <v>1.57</v>
      </c>
    </row>
    <row r="666" spans="1:22">
      <c r="A666" s="1" t="s">
        <v>712</v>
      </c>
      <c r="B666" s="1" t="s">
        <v>29</v>
      </c>
      <c r="C666" s="2">
        <v>46288</v>
      </c>
      <c r="D666" s="3">
        <v>0.65625</v>
      </c>
      <c r="E666">
        <v>119</v>
      </c>
      <c r="F666">
        <v>122</v>
      </c>
      <c r="G666">
        <v>4</v>
      </c>
      <c r="H666" s="1" t="s">
        <v>30</v>
      </c>
      <c r="I666">
        <v>32</v>
      </c>
      <c r="J666">
        <v>14</v>
      </c>
      <c r="K666" s="1" t="s">
        <v>31</v>
      </c>
      <c r="L666" s="1" t="s">
        <v>69</v>
      </c>
      <c r="M666">
        <v>0</v>
      </c>
      <c r="N666">
        <v>0</v>
      </c>
      <c r="O666" s="1" t="s">
        <v>27</v>
      </c>
      <c r="P666">
        <v>1</v>
      </c>
      <c r="Q666">
        <v>1</v>
      </c>
      <c r="R666">
        <v>1</v>
      </c>
      <c r="S666">
        <v>15</v>
      </c>
      <c r="T666">
        <v>0</v>
      </c>
      <c r="U666">
        <v>0</v>
      </c>
      <c r="V666">
        <v>3.72</v>
      </c>
    </row>
    <row r="667" spans="1:22">
      <c r="A667" s="1" t="s">
        <v>713</v>
      </c>
      <c r="B667" s="1" t="s">
        <v>45</v>
      </c>
      <c r="C667" s="2">
        <v>46277</v>
      </c>
      <c r="D667" s="3">
        <v>0.76041666666666663</v>
      </c>
      <c r="E667">
        <v>79</v>
      </c>
      <c r="F667">
        <v>71</v>
      </c>
      <c r="G667">
        <v>5</v>
      </c>
      <c r="H667" s="1" t="s">
        <v>46</v>
      </c>
      <c r="I667">
        <v>18.5</v>
      </c>
      <c r="J667">
        <v>22</v>
      </c>
      <c r="K667" s="1" t="s">
        <v>47</v>
      </c>
      <c r="L667" s="1" t="s">
        <v>32</v>
      </c>
      <c r="M667">
        <v>1</v>
      </c>
      <c r="N667">
        <v>0</v>
      </c>
      <c r="O667" s="1" t="s">
        <v>40</v>
      </c>
      <c r="P667">
        <v>1</v>
      </c>
      <c r="Q667">
        <v>1</v>
      </c>
      <c r="R667">
        <v>11</v>
      </c>
      <c r="S667">
        <v>18</v>
      </c>
      <c r="T667">
        <v>1</v>
      </c>
      <c r="U667">
        <v>1</v>
      </c>
      <c r="V667">
        <v>4.2699999999999996</v>
      </c>
    </row>
    <row r="668" spans="1:22">
      <c r="A668" s="1" t="s">
        <v>714</v>
      </c>
      <c r="B668" s="1" t="s">
        <v>34</v>
      </c>
      <c r="C668" s="2">
        <v>46272</v>
      </c>
      <c r="D668" s="3">
        <v>0.40625</v>
      </c>
      <c r="E668">
        <v>151</v>
      </c>
      <c r="F668">
        <v>149</v>
      </c>
      <c r="G668">
        <v>4</v>
      </c>
      <c r="H668" s="1" t="s">
        <v>35</v>
      </c>
      <c r="I668">
        <v>12.2</v>
      </c>
      <c r="J668">
        <v>18</v>
      </c>
      <c r="K668" s="1" t="s">
        <v>36</v>
      </c>
      <c r="L668" s="1" t="s">
        <v>65</v>
      </c>
      <c r="M668">
        <v>0</v>
      </c>
      <c r="N668">
        <v>0</v>
      </c>
      <c r="O668" s="1" t="s">
        <v>27</v>
      </c>
      <c r="P668">
        <v>1</v>
      </c>
      <c r="Q668">
        <v>1</v>
      </c>
      <c r="R668">
        <v>3</v>
      </c>
      <c r="S668">
        <v>9</v>
      </c>
      <c r="T668">
        <v>1</v>
      </c>
      <c r="U668">
        <v>0</v>
      </c>
      <c r="V668">
        <v>12.38</v>
      </c>
    </row>
    <row r="669" spans="1:22">
      <c r="A669" s="1" t="s">
        <v>715</v>
      </c>
      <c r="B669" s="1" t="s">
        <v>45</v>
      </c>
      <c r="C669" s="2">
        <v>46280</v>
      </c>
      <c r="D669" s="3">
        <v>0.39583333333333331</v>
      </c>
      <c r="E669">
        <v>70</v>
      </c>
      <c r="F669">
        <v>71</v>
      </c>
      <c r="G669">
        <v>3</v>
      </c>
      <c r="H669" s="1" t="s">
        <v>46</v>
      </c>
      <c r="I669">
        <v>18.5</v>
      </c>
      <c r="J669">
        <v>22</v>
      </c>
      <c r="K669" s="1" t="s">
        <v>47</v>
      </c>
      <c r="L669" s="1" t="s">
        <v>26</v>
      </c>
      <c r="M669">
        <v>0</v>
      </c>
      <c r="N669">
        <v>0</v>
      </c>
      <c r="O669" s="1" t="s">
        <v>27</v>
      </c>
      <c r="P669">
        <v>1</v>
      </c>
      <c r="Q669">
        <v>1</v>
      </c>
      <c r="R669">
        <v>4</v>
      </c>
      <c r="S669">
        <v>9</v>
      </c>
      <c r="T669">
        <v>1</v>
      </c>
      <c r="U669">
        <v>0</v>
      </c>
      <c r="V669">
        <v>3.78</v>
      </c>
    </row>
    <row r="670" spans="1:22">
      <c r="A670" s="1" t="s">
        <v>716</v>
      </c>
      <c r="B670" s="1" t="s">
        <v>29</v>
      </c>
      <c r="C670" s="2">
        <v>46289</v>
      </c>
      <c r="D670" s="3">
        <v>0.66666666666666663</v>
      </c>
      <c r="E670">
        <v>80</v>
      </c>
      <c r="F670">
        <v>82</v>
      </c>
      <c r="G670">
        <v>3</v>
      </c>
      <c r="H670" s="1" t="s">
        <v>30</v>
      </c>
      <c r="I670">
        <v>32</v>
      </c>
      <c r="J670">
        <v>14</v>
      </c>
      <c r="K670" s="1" t="s">
        <v>31</v>
      </c>
      <c r="L670" s="1" t="s">
        <v>56</v>
      </c>
      <c r="M670">
        <v>0</v>
      </c>
      <c r="N670">
        <v>0</v>
      </c>
      <c r="O670" s="1" t="s">
        <v>27</v>
      </c>
      <c r="P670">
        <v>1</v>
      </c>
      <c r="Q670">
        <v>1</v>
      </c>
      <c r="R670">
        <v>3</v>
      </c>
      <c r="S670">
        <v>16</v>
      </c>
      <c r="T670">
        <v>0</v>
      </c>
      <c r="U670">
        <v>0</v>
      </c>
      <c r="V670">
        <v>2.5</v>
      </c>
    </row>
    <row r="671" spans="1:22">
      <c r="A671" s="1" t="s">
        <v>717</v>
      </c>
      <c r="B671" s="1" t="s">
        <v>45</v>
      </c>
      <c r="C671" s="2">
        <v>46282</v>
      </c>
      <c r="D671" s="3">
        <v>0.54166666666666663</v>
      </c>
      <c r="E671">
        <v>210</v>
      </c>
      <c r="F671">
        <v>195</v>
      </c>
      <c r="G671">
        <v>6</v>
      </c>
      <c r="H671" s="1" t="s">
        <v>46</v>
      </c>
      <c r="I671">
        <v>18.5</v>
      </c>
      <c r="J671">
        <v>22</v>
      </c>
      <c r="K671" s="1" t="s">
        <v>47</v>
      </c>
      <c r="L671" s="1" t="s">
        <v>56</v>
      </c>
      <c r="M671">
        <v>0</v>
      </c>
      <c r="N671">
        <v>0</v>
      </c>
      <c r="O671" s="1" t="s">
        <v>27</v>
      </c>
      <c r="P671">
        <v>1</v>
      </c>
      <c r="Q671">
        <v>1</v>
      </c>
      <c r="R671">
        <v>3</v>
      </c>
      <c r="S671">
        <v>13</v>
      </c>
      <c r="T671">
        <v>0</v>
      </c>
      <c r="U671">
        <v>0</v>
      </c>
      <c r="V671">
        <v>11.35</v>
      </c>
    </row>
    <row r="672" spans="1:22">
      <c r="A672" s="1" t="s">
        <v>718</v>
      </c>
      <c r="B672" s="1" t="s">
        <v>29</v>
      </c>
      <c r="C672" s="2">
        <v>46269</v>
      </c>
      <c r="D672" s="3">
        <v>0.57291666666666663</v>
      </c>
      <c r="E672">
        <v>35</v>
      </c>
      <c r="F672">
        <v>41</v>
      </c>
      <c r="G672">
        <v>4</v>
      </c>
      <c r="H672" s="1" t="s">
        <v>30</v>
      </c>
      <c r="I672">
        <v>32</v>
      </c>
      <c r="J672">
        <v>14</v>
      </c>
      <c r="K672" s="1" t="s">
        <v>31</v>
      </c>
      <c r="L672" s="1" t="s">
        <v>49</v>
      </c>
      <c r="M672">
        <v>0</v>
      </c>
      <c r="N672">
        <v>0</v>
      </c>
      <c r="O672" s="1" t="s">
        <v>27</v>
      </c>
      <c r="P672">
        <v>1</v>
      </c>
      <c r="Q672">
        <v>1</v>
      </c>
      <c r="R672">
        <v>4</v>
      </c>
      <c r="S672">
        <v>13</v>
      </c>
      <c r="T672">
        <v>0</v>
      </c>
      <c r="U672">
        <v>0</v>
      </c>
      <c r="V672">
        <v>1.0900000000000001</v>
      </c>
    </row>
    <row r="673" spans="1:22">
      <c r="A673" s="1" t="s">
        <v>719</v>
      </c>
      <c r="B673" s="1" t="s">
        <v>29</v>
      </c>
      <c r="C673" s="2">
        <v>46294</v>
      </c>
      <c r="D673" s="3">
        <v>0.29166666666666669</v>
      </c>
      <c r="E673">
        <v>41</v>
      </c>
      <c r="F673">
        <v>48</v>
      </c>
      <c r="G673">
        <v>3</v>
      </c>
      <c r="H673" s="1" t="s">
        <v>30</v>
      </c>
      <c r="I673">
        <v>32</v>
      </c>
      <c r="J673">
        <v>14</v>
      </c>
      <c r="K673" s="1" t="s">
        <v>31</v>
      </c>
      <c r="L673" s="1" t="s">
        <v>26</v>
      </c>
      <c r="M673">
        <v>0</v>
      </c>
      <c r="N673">
        <v>0</v>
      </c>
      <c r="O673" s="1" t="s">
        <v>27</v>
      </c>
      <c r="P673">
        <v>1</v>
      </c>
      <c r="Q673">
        <v>1</v>
      </c>
      <c r="R673">
        <v>17</v>
      </c>
      <c r="S673">
        <v>7</v>
      </c>
      <c r="T673">
        <v>0</v>
      </c>
      <c r="U673">
        <v>0</v>
      </c>
      <c r="V673">
        <v>1.28</v>
      </c>
    </row>
    <row r="674" spans="1:22">
      <c r="A674" s="1" t="s">
        <v>720</v>
      </c>
      <c r="B674" s="1" t="s">
        <v>45</v>
      </c>
      <c r="C674" s="2">
        <v>46287</v>
      </c>
      <c r="D674" s="3">
        <v>0.28125</v>
      </c>
      <c r="E674">
        <v>66</v>
      </c>
      <c r="F674">
        <v>57</v>
      </c>
      <c r="G674">
        <v>3</v>
      </c>
      <c r="H674" s="1" t="s">
        <v>46</v>
      </c>
      <c r="I674">
        <v>18.5</v>
      </c>
      <c r="J674">
        <v>22</v>
      </c>
      <c r="K674" s="1" t="s">
        <v>47</v>
      </c>
      <c r="L674" s="1" t="s">
        <v>26</v>
      </c>
      <c r="M674">
        <v>0</v>
      </c>
      <c r="N674">
        <v>0</v>
      </c>
      <c r="O674" s="1" t="s">
        <v>27</v>
      </c>
      <c r="P674">
        <v>1</v>
      </c>
      <c r="Q674">
        <v>1</v>
      </c>
      <c r="R674">
        <v>1</v>
      </c>
      <c r="S674">
        <v>6</v>
      </c>
      <c r="T674">
        <v>0</v>
      </c>
      <c r="U674">
        <v>0</v>
      </c>
      <c r="V674">
        <v>3.57</v>
      </c>
    </row>
    <row r="675" spans="1:22">
      <c r="A675" s="1" t="s">
        <v>721</v>
      </c>
      <c r="B675" s="1" t="s">
        <v>45</v>
      </c>
      <c r="C675" s="2">
        <v>46290</v>
      </c>
      <c r="D675" s="3">
        <v>0.23958333333333334</v>
      </c>
      <c r="E675">
        <v>124</v>
      </c>
      <c r="F675">
        <v>112</v>
      </c>
      <c r="G675">
        <v>5</v>
      </c>
      <c r="H675" s="1" t="s">
        <v>46</v>
      </c>
      <c r="I675">
        <v>18.5</v>
      </c>
      <c r="J675">
        <v>22</v>
      </c>
      <c r="K675" s="1" t="s">
        <v>47</v>
      </c>
      <c r="L675" s="1" t="s">
        <v>49</v>
      </c>
      <c r="M675">
        <v>0</v>
      </c>
      <c r="N675">
        <v>0</v>
      </c>
      <c r="O675" s="1" t="s">
        <v>27</v>
      </c>
      <c r="P675">
        <v>1</v>
      </c>
      <c r="Q675">
        <v>1</v>
      </c>
      <c r="R675">
        <v>4</v>
      </c>
      <c r="S675">
        <v>5</v>
      </c>
      <c r="T675">
        <v>0</v>
      </c>
      <c r="U675">
        <v>0</v>
      </c>
      <c r="V675">
        <v>6.7</v>
      </c>
    </row>
    <row r="676" spans="1:22">
      <c r="A676" s="1" t="s">
        <v>722</v>
      </c>
      <c r="B676" s="1" t="s">
        <v>23</v>
      </c>
      <c r="C676" s="2">
        <v>46278</v>
      </c>
      <c r="D676" s="3">
        <v>0.72916666666666663</v>
      </c>
      <c r="E676">
        <v>88</v>
      </c>
      <c r="F676">
        <v>99</v>
      </c>
      <c r="G676">
        <v>4</v>
      </c>
      <c r="H676" s="1" t="s">
        <v>24</v>
      </c>
      <c r="I676">
        <v>15</v>
      </c>
      <c r="J676">
        <v>16</v>
      </c>
      <c r="K676" s="1" t="s">
        <v>25</v>
      </c>
      <c r="L676" s="1" t="s">
        <v>38</v>
      </c>
      <c r="M676">
        <v>1</v>
      </c>
      <c r="N676">
        <v>0</v>
      </c>
      <c r="O676" s="1" t="s">
        <v>27</v>
      </c>
      <c r="P676">
        <v>1</v>
      </c>
      <c r="Q676">
        <v>1</v>
      </c>
      <c r="R676">
        <v>1</v>
      </c>
      <c r="S676">
        <v>17</v>
      </c>
      <c r="T676">
        <v>1</v>
      </c>
      <c r="U676">
        <v>0</v>
      </c>
      <c r="V676">
        <v>5.87</v>
      </c>
    </row>
    <row r="677" spans="1:22">
      <c r="A677" s="1" t="s">
        <v>723</v>
      </c>
      <c r="B677" s="1" t="s">
        <v>23</v>
      </c>
      <c r="C677" s="2">
        <v>46283</v>
      </c>
      <c r="D677" s="3">
        <v>0.82291666666666663</v>
      </c>
      <c r="E677">
        <v>81</v>
      </c>
      <c r="F677">
        <v>72</v>
      </c>
      <c r="G677">
        <v>5</v>
      </c>
      <c r="H677" s="1" t="s">
        <v>24</v>
      </c>
      <c r="I677">
        <v>15</v>
      </c>
      <c r="J677">
        <v>16</v>
      </c>
      <c r="K677" s="1" t="s">
        <v>25</v>
      </c>
      <c r="L677" s="1" t="s">
        <v>49</v>
      </c>
      <c r="M677">
        <v>0</v>
      </c>
      <c r="N677">
        <v>0</v>
      </c>
      <c r="O677" s="1" t="s">
        <v>27</v>
      </c>
      <c r="P677">
        <v>1</v>
      </c>
      <c r="Q677">
        <v>1</v>
      </c>
      <c r="R677">
        <v>4</v>
      </c>
      <c r="S677">
        <v>19</v>
      </c>
      <c r="T677">
        <v>1</v>
      </c>
      <c r="U677">
        <v>0</v>
      </c>
      <c r="V677">
        <v>5.4</v>
      </c>
    </row>
    <row r="678" spans="1:22">
      <c r="A678" s="1" t="s">
        <v>724</v>
      </c>
      <c r="B678" s="1" t="s">
        <v>59</v>
      </c>
      <c r="C678" s="2">
        <v>46266</v>
      </c>
      <c r="D678" s="3">
        <v>0.67708333333333337</v>
      </c>
      <c r="E678">
        <v>88</v>
      </c>
      <c r="F678">
        <v>91</v>
      </c>
      <c r="G678">
        <v>5</v>
      </c>
      <c r="H678" s="1" t="s">
        <v>60</v>
      </c>
      <c r="I678">
        <v>24.8</v>
      </c>
      <c r="J678">
        <v>28</v>
      </c>
      <c r="K678" s="1" t="s">
        <v>61</v>
      </c>
      <c r="L678" s="1" t="s">
        <v>26</v>
      </c>
      <c r="M678">
        <v>0</v>
      </c>
      <c r="N678">
        <v>0</v>
      </c>
      <c r="O678" s="1" t="s">
        <v>27</v>
      </c>
      <c r="P678">
        <v>1</v>
      </c>
      <c r="Q678">
        <v>1</v>
      </c>
      <c r="R678">
        <v>7</v>
      </c>
      <c r="S678">
        <v>16</v>
      </c>
      <c r="T678">
        <v>0</v>
      </c>
      <c r="U678">
        <v>0</v>
      </c>
      <c r="V678">
        <v>3.55</v>
      </c>
    </row>
    <row r="679" spans="1:22">
      <c r="A679" s="1" t="s">
        <v>725</v>
      </c>
      <c r="B679" s="1" t="s">
        <v>34</v>
      </c>
      <c r="C679" s="2">
        <v>46281</v>
      </c>
      <c r="D679" s="3">
        <v>0.67708333333333337</v>
      </c>
      <c r="E679">
        <v>95</v>
      </c>
      <c r="F679">
        <v>92</v>
      </c>
      <c r="G679">
        <v>5</v>
      </c>
      <c r="H679" s="1" t="s">
        <v>35</v>
      </c>
      <c r="I679">
        <v>12.2</v>
      </c>
      <c r="J679">
        <v>18</v>
      </c>
      <c r="K679" s="1" t="s">
        <v>36</v>
      </c>
      <c r="L679" s="1" t="s">
        <v>69</v>
      </c>
      <c r="M679">
        <v>0</v>
      </c>
      <c r="N679">
        <v>0</v>
      </c>
      <c r="O679" s="1" t="s">
        <v>27</v>
      </c>
      <c r="P679">
        <v>1</v>
      </c>
      <c r="Q679">
        <v>1</v>
      </c>
      <c r="R679">
        <v>8</v>
      </c>
      <c r="S679">
        <v>16</v>
      </c>
      <c r="T679">
        <v>0</v>
      </c>
      <c r="U679">
        <v>0</v>
      </c>
      <c r="V679">
        <v>7.79</v>
      </c>
    </row>
    <row r="680" spans="1:22">
      <c r="A680" s="1" t="s">
        <v>726</v>
      </c>
      <c r="B680" s="1" t="s">
        <v>29</v>
      </c>
      <c r="C680" s="2">
        <v>46278</v>
      </c>
      <c r="D680" s="3">
        <v>0.8125</v>
      </c>
      <c r="E680">
        <v>139</v>
      </c>
      <c r="F680">
        <v>134</v>
      </c>
      <c r="G680">
        <v>5</v>
      </c>
      <c r="H680" s="1" t="s">
        <v>30</v>
      </c>
      <c r="I680">
        <v>32</v>
      </c>
      <c r="J680">
        <v>14</v>
      </c>
      <c r="K680" s="1" t="s">
        <v>31</v>
      </c>
      <c r="L680" s="1" t="s">
        <v>38</v>
      </c>
      <c r="M680">
        <v>1</v>
      </c>
      <c r="N680">
        <v>0</v>
      </c>
      <c r="O680" s="1" t="s">
        <v>27</v>
      </c>
      <c r="P680">
        <v>1</v>
      </c>
      <c r="Q680">
        <v>1</v>
      </c>
      <c r="R680">
        <v>0</v>
      </c>
      <c r="S680">
        <v>19</v>
      </c>
      <c r="T680">
        <v>1</v>
      </c>
      <c r="U680">
        <v>0</v>
      </c>
      <c r="V680">
        <v>4.34</v>
      </c>
    </row>
    <row r="681" spans="1:22">
      <c r="A681" s="1" t="s">
        <v>727</v>
      </c>
      <c r="B681" s="1" t="s">
        <v>45</v>
      </c>
      <c r="C681" s="2">
        <v>46275</v>
      </c>
      <c r="D681" s="3">
        <v>0.5625</v>
      </c>
      <c r="E681">
        <v>57</v>
      </c>
      <c r="F681">
        <v>58</v>
      </c>
      <c r="G681">
        <v>2</v>
      </c>
      <c r="H681" s="1" t="s">
        <v>46</v>
      </c>
      <c r="I681">
        <v>18.5</v>
      </c>
      <c r="J681">
        <v>22</v>
      </c>
      <c r="K681" s="1" t="s">
        <v>47</v>
      </c>
      <c r="L681" s="1" t="s">
        <v>56</v>
      </c>
      <c r="M681">
        <v>0</v>
      </c>
      <c r="N681">
        <v>0</v>
      </c>
      <c r="O681" s="1" t="s">
        <v>27</v>
      </c>
      <c r="P681">
        <v>1</v>
      </c>
      <c r="Q681">
        <v>1</v>
      </c>
      <c r="R681">
        <v>0</v>
      </c>
      <c r="S681">
        <v>13</v>
      </c>
      <c r="T681">
        <v>0</v>
      </c>
      <c r="U681">
        <v>0</v>
      </c>
      <c r="V681">
        <v>3.08</v>
      </c>
    </row>
    <row r="682" spans="1:22">
      <c r="A682" s="1" t="s">
        <v>728</v>
      </c>
      <c r="B682" s="1" t="s">
        <v>23</v>
      </c>
      <c r="C682" s="2">
        <v>46277</v>
      </c>
      <c r="D682" s="3">
        <v>0.5</v>
      </c>
      <c r="E682">
        <v>71</v>
      </c>
      <c r="F682">
        <v>75</v>
      </c>
      <c r="G682">
        <v>4</v>
      </c>
      <c r="H682" s="1" t="s">
        <v>24</v>
      </c>
      <c r="I682">
        <v>15</v>
      </c>
      <c r="J682">
        <v>16</v>
      </c>
      <c r="K682" s="1" t="s">
        <v>25</v>
      </c>
      <c r="L682" s="1" t="s">
        <v>32</v>
      </c>
      <c r="M682">
        <v>1</v>
      </c>
      <c r="N682">
        <v>0</v>
      </c>
      <c r="O682" s="1" t="s">
        <v>40</v>
      </c>
      <c r="P682">
        <v>1</v>
      </c>
      <c r="Q682">
        <v>1</v>
      </c>
      <c r="R682">
        <v>0</v>
      </c>
      <c r="S682">
        <v>12</v>
      </c>
      <c r="T682">
        <v>0</v>
      </c>
      <c r="U682">
        <v>1</v>
      </c>
      <c r="V682">
        <v>4.7300000000000004</v>
      </c>
    </row>
    <row r="683" spans="1:22">
      <c r="A683" s="1" t="s">
        <v>729</v>
      </c>
      <c r="B683" s="1" t="s">
        <v>34</v>
      </c>
      <c r="C683" s="2">
        <v>46295</v>
      </c>
      <c r="D683" s="3">
        <v>0.44791666666666669</v>
      </c>
      <c r="E683">
        <v>73</v>
      </c>
      <c r="F683">
        <v>73</v>
      </c>
      <c r="G683">
        <v>3</v>
      </c>
      <c r="H683" s="1" t="s">
        <v>35</v>
      </c>
      <c r="I683">
        <v>12.2</v>
      </c>
      <c r="J683">
        <v>18</v>
      </c>
      <c r="K683" s="1" t="s">
        <v>36</v>
      </c>
      <c r="L683" s="1" t="s">
        <v>69</v>
      </c>
      <c r="M683">
        <v>0</v>
      </c>
      <c r="N683">
        <v>0</v>
      </c>
      <c r="O683" s="1" t="s">
        <v>27</v>
      </c>
      <c r="P683">
        <v>1</v>
      </c>
      <c r="Q683">
        <v>1</v>
      </c>
      <c r="R683">
        <v>10</v>
      </c>
      <c r="S683">
        <v>10</v>
      </c>
      <c r="T683">
        <v>1</v>
      </c>
      <c r="U683">
        <v>0</v>
      </c>
      <c r="V683">
        <v>5.98</v>
      </c>
    </row>
    <row r="684" spans="1:22">
      <c r="A684" s="1" t="s">
        <v>730</v>
      </c>
      <c r="B684" s="1" t="s">
        <v>23</v>
      </c>
      <c r="C684" s="2">
        <v>46267</v>
      </c>
      <c r="D684" s="3">
        <v>0.35416666666666669</v>
      </c>
      <c r="E684">
        <v>45</v>
      </c>
      <c r="F684">
        <v>39</v>
      </c>
      <c r="G684">
        <v>4</v>
      </c>
      <c r="H684" s="1" t="s">
        <v>24</v>
      </c>
      <c r="I684">
        <v>15</v>
      </c>
      <c r="J684">
        <v>16</v>
      </c>
      <c r="K684" s="1" t="s">
        <v>25</v>
      </c>
      <c r="L684" s="1" t="s">
        <v>69</v>
      </c>
      <c r="M684">
        <v>0</v>
      </c>
      <c r="N684">
        <v>0</v>
      </c>
      <c r="O684" s="1" t="s">
        <v>27</v>
      </c>
      <c r="P684">
        <v>1</v>
      </c>
      <c r="Q684">
        <v>1</v>
      </c>
      <c r="R684">
        <v>1</v>
      </c>
      <c r="S684">
        <v>8</v>
      </c>
      <c r="T684">
        <v>1</v>
      </c>
      <c r="U684">
        <v>0</v>
      </c>
      <c r="V684">
        <v>3</v>
      </c>
    </row>
    <row r="685" spans="1:22">
      <c r="A685" s="1" t="s">
        <v>731</v>
      </c>
      <c r="B685" s="1" t="s">
        <v>45</v>
      </c>
      <c r="C685" s="2">
        <v>46288</v>
      </c>
      <c r="D685" s="3">
        <v>0.48958333333333331</v>
      </c>
      <c r="E685">
        <v>101</v>
      </c>
      <c r="F685">
        <v>101</v>
      </c>
      <c r="G685">
        <v>4</v>
      </c>
      <c r="H685" s="1" t="s">
        <v>46</v>
      </c>
      <c r="I685">
        <v>18.5</v>
      </c>
      <c r="J685">
        <v>22</v>
      </c>
      <c r="K685" s="1" t="s">
        <v>47</v>
      </c>
      <c r="L685" s="1" t="s">
        <v>69</v>
      </c>
      <c r="M685">
        <v>0</v>
      </c>
      <c r="N685">
        <v>0</v>
      </c>
      <c r="O685" s="1" t="s">
        <v>27</v>
      </c>
      <c r="P685">
        <v>1</v>
      </c>
      <c r="Q685">
        <v>1</v>
      </c>
      <c r="R685">
        <v>4</v>
      </c>
      <c r="S685">
        <v>11</v>
      </c>
      <c r="T685">
        <v>0</v>
      </c>
      <c r="U685">
        <v>0</v>
      </c>
      <c r="V685">
        <v>5.46</v>
      </c>
    </row>
    <row r="686" spans="1:22">
      <c r="A686" s="1" t="s">
        <v>732</v>
      </c>
      <c r="B686" s="1" t="s">
        <v>29</v>
      </c>
      <c r="C686" s="2">
        <v>46268</v>
      </c>
      <c r="D686" s="3">
        <v>0.34375</v>
      </c>
      <c r="E686">
        <v>68</v>
      </c>
      <c r="F686">
        <v>65</v>
      </c>
      <c r="G686">
        <v>3</v>
      </c>
      <c r="H686" s="1" t="s">
        <v>30</v>
      </c>
      <c r="I686">
        <v>32</v>
      </c>
      <c r="J686">
        <v>14</v>
      </c>
      <c r="K686" s="1" t="s">
        <v>31</v>
      </c>
      <c r="L686" s="1" t="s">
        <v>56</v>
      </c>
      <c r="M686">
        <v>0</v>
      </c>
      <c r="N686">
        <v>0</v>
      </c>
      <c r="O686" s="1" t="s">
        <v>27</v>
      </c>
      <c r="P686">
        <v>1</v>
      </c>
      <c r="Q686">
        <v>1</v>
      </c>
      <c r="R686">
        <v>0</v>
      </c>
      <c r="S686">
        <v>8</v>
      </c>
      <c r="T686">
        <v>1</v>
      </c>
      <c r="U686">
        <v>0</v>
      </c>
      <c r="V686">
        <v>2.12</v>
      </c>
    </row>
    <row r="687" spans="1:22">
      <c r="A687" s="1" t="s">
        <v>733</v>
      </c>
      <c r="B687" s="1" t="s">
        <v>45</v>
      </c>
      <c r="C687" s="2">
        <v>46275</v>
      </c>
      <c r="D687" s="3">
        <v>0.66666666666666663</v>
      </c>
      <c r="E687">
        <v>59</v>
      </c>
      <c r="F687">
        <v>56</v>
      </c>
      <c r="G687">
        <v>3</v>
      </c>
      <c r="H687" s="1" t="s">
        <v>46</v>
      </c>
      <c r="I687">
        <v>18.5</v>
      </c>
      <c r="J687">
        <v>22</v>
      </c>
      <c r="K687" s="1" t="s">
        <v>47</v>
      </c>
      <c r="L687" s="1" t="s">
        <v>56</v>
      </c>
      <c r="M687">
        <v>0</v>
      </c>
      <c r="N687">
        <v>0</v>
      </c>
      <c r="O687" s="1" t="s">
        <v>27</v>
      </c>
      <c r="P687">
        <v>1</v>
      </c>
      <c r="Q687">
        <v>1</v>
      </c>
      <c r="R687">
        <v>4</v>
      </c>
      <c r="S687">
        <v>16</v>
      </c>
      <c r="T687">
        <v>0</v>
      </c>
      <c r="U687">
        <v>0</v>
      </c>
      <c r="V687">
        <v>3.19</v>
      </c>
    </row>
    <row r="688" spans="1:22">
      <c r="A688" s="1" t="s">
        <v>734</v>
      </c>
      <c r="B688" s="1" t="s">
        <v>59</v>
      </c>
      <c r="C688" s="2">
        <v>46267</v>
      </c>
      <c r="D688" s="3">
        <v>0.30208333333333331</v>
      </c>
      <c r="E688">
        <v>86</v>
      </c>
      <c r="F688">
        <v>87</v>
      </c>
      <c r="G688">
        <v>4</v>
      </c>
      <c r="H688" s="1" t="s">
        <v>60</v>
      </c>
      <c r="I688">
        <v>24.8</v>
      </c>
      <c r="J688">
        <v>28</v>
      </c>
      <c r="K688" s="1" t="s">
        <v>61</v>
      </c>
      <c r="L688" s="1" t="s">
        <v>69</v>
      </c>
      <c r="M688">
        <v>0</v>
      </c>
      <c r="N688">
        <v>0</v>
      </c>
      <c r="O688" s="1" t="s">
        <v>27</v>
      </c>
      <c r="P688">
        <v>1</v>
      </c>
      <c r="Q688">
        <v>1</v>
      </c>
      <c r="R688">
        <v>0</v>
      </c>
      <c r="S688">
        <v>7</v>
      </c>
      <c r="T688">
        <v>0</v>
      </c>
      <c r="U688">
        <v>0</v>
      </c>
      <c r="V688">
        <v>3.47</v>
      </c>
    </row>
    <row r="689" spans="1:22">
      <c r="A689" s="1" t="s">
        <v>735</v>
      </c>
      <c r="B689" s="1" t="s">
        <v>45</v>
      </c>
      <c r="C689" s="2">
        <v>46295</v>
      </c>
      <c r="D689" s="3">
        <v>0.67708333333333337</v>
      </c>
      <c r="E689">
        <v>170</v>
      </c>
      <c r="F689">
        <v>164</v>
      </c>
      <c r="G689">
        <v>6</v>
      </c>
      <c r="H689" s="1" t="s">
        <v>46</v>
      </c>
      <c r="I689">
        <v>18.5</v>
      </c>
      <c r="J689">
        <v>22</v>
      </c>
      <c r="K689" s="1" t="s">
        <v>47</v>
      </c>
      <c r="L689" s="1" t="s">
        <v>69</v>
      </c>
      <c r="M689">
        <v>0</v>
      </c>
      <c r="N689">
        <v>0</v>
      </c>
      <c r="O689" s="1" t="s">
        <v>27</v>
      </c>
      <c r="P689">
        <v>1</v>
      </c>
      <c r="Q689">
        <v>1</v>
      </c>
      <c r="R689">
        <v>0</v>
      </c>
      <c r="S689">
        <v>16</v>
      </c>
      <c r="T689">
        <v>0</v>
      </c>
      <c r="U689">
        <v>0</v>
      </c>
      <c r="V689">
        <v>9.19</v>
      </c>
    </row>
    <row r="690" spans="1:22">
      <c r="A690" s="1" t="s">
        <v>736</v>
      </c>
      <c r="B690" s="1" t="s">
        <v>45</v>
      </c>
      <c r="C690" s="2">
        <v>46292</v>
      </c>
      <c r="D690" s="3">
        <v>0.27083333333333331</v>
      </c>
      <c r="E690">
        <v>85</v>
      </c>
      <c r="F690">
        <v>92</v>
      </c>
      <c r="G690">
        <v>2</v>
      </c>
      <c r="H690" s="1" t="s">
        <v>46</v>
      </c>
      <c r="I690">
        <v>18.5</v>
      </c>
      <c r="J690">
        <v>22</v>
      </c>
      <c r="K690" s="1" t="s">
        <v>47</v>
      </c>
      <c r="L690" s="1" t="s">
        <v>38</v>
      </c>
      <c r="M690">
        <v>1</v>
      </c>
      <c r="N690">
        <v>0</v>
      </c>
      <c r="O690" s="1" t="s">
        <v>134</v>
      </c>
      <c r="P690">
        <v>1</v>
      </c>
      <c r="Q690">
        <v>1</v>
      </c>
      <c r="R690">
        <v>4</v>
      </c>
      <c r="S690">
        <v>6</v>
      </c>
      <c r="T690">
        <v>0</v>
      </c>
      <c r="U690">
        <v>1</v>
      </c>
      <c r="V690">
        <v>4.59</v>
      </c>
    </row>
    <row r="691" spans="1:22">
      <c r="A691" s="1" t="s">
        <v>737</v>
      </c>
      <c r="B691" s="1" t="s">
        <v>59</v>
      </c>
      <c r="C691" s="2">
        <v>46288</v>
      </c>
      <c r="D691" s="3">
        <v>0.54166666666666663</v>
      </c>
      <c r="E691">
        <v>172</v>
      </c>
      <c r="F691">
        <v>160</v>
      </c>
      <c r="G691">
        <v>5</v>
      </c>
      <c r="H691" s="1" t="s">
        <v>60</v>
      </c>
      <c r="I691">
        <v>24.8</v>
      </c>
      <c r="J691">
        <v>28</v>
      </c>
      <c r="K691" s="1" t="s">
        <v>61</v>
      </c>
      <c r="L691" s="1" t="s">
        <v>69</v>
      </c>
      <c r="M691">
        <v>0</v>
      </c>
      <c r="N691">
        <v>0</v>
      </c>
      <c r="O691" s="1" t="s">
        <v>27</v>
      </c>
      <c r="P691">
        <v>1</v>
      </c>
      <c r="Q691">
        <v>1</v>
      </c>
      <c r="R691">
        <v>4</v>
      </c>
      <c r="S691">
        <v>13</v>
      </c>
      <c r="T691">
        <v>0</v>
      </c>
      <c r="U691">
        <v>0</v>
      </c>
      <c r="V691">
        <v>6.94</v>
      </c>
    </row>
    <row r="692" spans="1:22">
      <c r="A692" s="1" t="s">
        <v>738</v>
      </c>
      <c r="B692" s="1" t="s">
        <v>29</v>
      </c>
      <c r="C692" s="2">
        <v>46278</v>
      </c>
      <c r="D692" s="3">
        <v>0.52083333333333337</v>
      </c>
      <c r="E692">
        <v>188</v>
      </c>
      <c r="F692">
        <v>187</v>
      </c>
      <c r="G692">
        <v>5</v>
      </c>
      <c r="H692" s="1" t="s">
        <v>30</v>
      </c>
      <c r="I692">
        <v>32</v>
      </c>
      <c r="J692">
        <v>14</v>
      </c>
      <c r="K692" s="1" t="s">
        <v>31</v>
      </c>
      <c r="L692" s="1" t="s">
        <v>38</v>
      </c>
      <c r="M692">
        <v>1</v>
      </c>
      <c r="N692">
        <v>0</v>
      </c>
      <c r="O692" s="1" t="s">
        <v>27</v>
      </c>
      <c r="P692">
        <v>1</v>
      </c>
      <c r="Q692">
        <v>1</v>
      </c>
      <c r="R692">
        <v>1</v>
      </c>
      <c r="S692">
        <v>12</v>
      </c>
      <c r="T692">
        <v>0</v>
      </c>
      <c r="U692">
        <v>0</v>
      </c>
      <c r="V692">
        <v>5.88</v>
      </c>
    </row>
    <row r="693" spans="1:22">
      <c r="A693" s="1" t="s">
        <v>739</v>
      </c>
      <c r="B693" s="1" t="s">
        <v>45</v>
      </c>
      <c r="C693" s="2">
        <v>46278</v>
      </c>
      <c r="D693" s="3">
        <v>0.42708333333333331</v>
      </c>
      <c r="E693">
        <v>167</v>
      </c>
      <c r="F693">
        <v>172</v>
      </c>
      <c r="G693">
        <v>7</v>
      </c>
      <c r="H693" s="1" t="s">
        <v>46</v>
      </c>
      <c r="I693">
        <v>18.5</v>
      </c>
      <c r="J693">
        <v>22</v>
      </c>
      <c r="K693" s="1" t="s">
        <v>47</v>
      </c>
      <c r="L693" s="1" t="s">
        <v>38</v>
      </c>
      <c r="M693">
        <v>1</v>
      </c>
      <c r="N693">
        <v>0</v>
      </c>
      <c r="O693" s="1" t="s">
        <v>27</v>
      </c>
      <c r="P693">
        <v>1</v>
      </c>
      <c r="Q693">
        <v>1</v>
      </c>
      <c r="R693">
        <v>4</v>
      </c>
      <c r="S693">
        <v>10</v>
      </c>
      <c r="T693">
        <v>1</v>
      </c>
      <c r="U693">
        <v>0</v>
      </c>
      <c r="V693">
        <v>9.0299999999999994</v>
      </c>
    </row>
    <row r="694" spans="1:22">
      <c r="A694" s="1" t="s">
        <v>740</v>
      </c>
      <c r="B694" s="1" t="s">
        <v>59</v>
      </c>
      <c r="C694" s="2">
        <v>46283</v>
      </c>
      <c r="D694" s="3">
        <v>0.91666666666666663</v>
      </c>
      <c r="E694">
        <v>145</v>
      </c>
      <c r="F694">
        <v>156</v>
      </c>
      <c r="G694">
        <v>6</v>
      </c>
      <c r="H694" s="1" t="s">
        <v>60</v>
      </c>
      <c r="I694">
        <v>24.8</v>
      </c>
      <c r="J694">
        <v>28</v>
      </c>
      <c r="K694" s="1" t="s">
        <v>61</v>
      </c>
      <c r="L694" s="1" t="s">
        <v>49</v>
      </c>
      <c r="M694">
        <v>0</v>
      </c>
      <c r="N694">
        <v>0</v>
      </c>
      <c r="O694" s="1" t="s">
        <v>27</v>
      </c>
      <c r="P694">
        <v>1</v>
      </c>
      <c r="Q694">
        <v>1</v>
      </c>
      <c r="R694">
        <v>4</v>
      </c>
      <c r="S694">
        <v>22</v>
      </c>
      <c r="T694">
        <v>0</v>
      </c>
      <c r="U694">
        <v>0</v>
      </c>
      <c r="V694">
        <v>5.85</v>
      </c>
    </row>
    <row r="695" spans="1:22">
      <c r="A695" s="1" t="s">
        <v>741</v>
      </c>
      <c r="B695" s="1" t="s">
        <v>34</v>
      </c>
      <c r="C695" s="2">
        <v>46268</v>
      </c>
      <c r="D695" s="3">
        <v>0.67708333333333337</v>
      </c>
      <c r="E695">
        <v>217</v>
      </c>
      <c r="F695">
        <v>231</v>
      </c>
      <c r="G695">
        <v>7</v>
      </c>
      <c r="H695" s="1" t="s">
        <v>35</v>
      </c>
      <c r="I695">
        <v>12.2</v>
      </c>
      <c r="J695">
        <v>18</v>
      </c>
      <c r="K695" s="1" t="s">
        <v>36</v>
      </c>
      <c r="L695" s="1" t="s">
        <v>56</v>
      </c>
      <c r="M695">
        <v>0</v>
      </c>
      <c r="N695">
        <v>0</v>
      </c>
      <c r="O695" s="1" t="s">
        <v>27</v>
      </c>
      <c r="P695">
        <v>1</v>
      </c>
      <c r="Q695">
        <v>1</v>
      </c>
      <c r="R695">
        <v>2</v>
      </c>
      <c r="S695">
        <v>16</v>
      </c>
      <c r="T695">
        <v>0</v>
      </c>
      <c r="U695">
        <v>0</v>
      </c>
      <c r="V695">
        <v>17.79</v>
      </c>
    </row>
    <row r="696" spans="1:22">
      <c r="A696" s="1" t="s">
        <v>742</v>
      </c>
      <c r="B696" s="1" t="s">
        <v>29</v>
      </c>
      <c r="C696" s="2">
        <v>46292</v>
      </c>
      <c r="D696" s="3">
        <v>0.52083333333333337</v>
      </c>
      <c r="E696">
        <v>164</v>
      </c>
      <c r="F696">
        <v>162</v>
      </c>
      <c r="G696">
        <v>5</v>
      </c>
      <c r="H696" s="1" t="s">
        <v>30</v>
      </c>
      <c r="I696">
        <v>32</v>
      </c>
      <c r="J696">
        <v>14</v>
      </c>
      <c r="K696" s="1" t="s">
        <v>31</v>
      </c>
      <c r="L696" s="1" t="s">
        <v>38</v>
      </c>
      <c r="M696">
        <v>1</v>
      </c>
      <c r="N696">
        <v>0</v>
      </c>
      <c r="O696" s="1" t="s">
        <v>134</v>
      </c>
      <c r="P696">
        <v>1</v>
      </c>
      <c r="Q696">
        <v>1</v>
      </c>
      <c r="R696">
        <v>2</v>
      </c>
      <c r="S696">
        <v>12</v>
      </c>
      <c r="T696">
        <v>0</v>
      </c>
      <c r="U696">
        <v>1</v>
      </c>
      <c r="V696">
        <v>5.12</v>
      </c>
    </row>
    <row r="697" spans="1:22">
      <c r="A697" s="1" t="s">
        <v>743</v>
      </c>
      <c r="B697" s="1" t="s">
        <v>29</v>
      </c>
      <c r="C697" s="2">
        <v>46272</v>
      </c>
      <c r="D697" s="3">
        <v>0.58333333333333337</v>
      </c>
      <c r="E697">
        <v>70</v>
      </c>
      <c r="F697">
        <v>56</v>
      </c>
      <c r="G697">
        <v>4</v>
      </c>
      <c r="H697" s="1" t="s">
        <v>30</v>
      </c>
      <c r="I697">
        <v>32</v>
      </c>
      <c r="J697">
        <v>14</v>
      </c>
      <c r="K697" s="1" t="s">
        <v>31</v>
      </c>
      <c r="L697" s="1" t="s">
        <v>65</v>
      </c>
      <c r="M697">
        <v>0</v>
      </c>
      <c r="N697">
        <v>0</v>
      </c>
      <c r="O697" s="1" t="s">
        <v>27</v>
      </c>
      <c r="P697">
        <v>1</v>
      </c>
      <c r="Q697">
        <v>1</v>
      </c>
      <c r="R697">
        <v>3</v>
      </c>
      <c r="S697">
        <v>14</v>
      </c>
      <c r="T697">
        <v>0</v>
      </c>
      <c r="U697">
        <v>0</v>
      </c>
      <c r="V697">
        <v>2.19</v>
      </c>
    </row>
    <row r="698" spans="1:22">
      <c r="A698" s="1" t="s">
        <v>744</v>
      </c>
      <c r="B698" s="1" t="s">
        <v>45</v>
      </c>
      <c r="C698" s="2">
        <v>46279</v>
      </c>
      <c r="D698" s="3">
        <v>0.70833333333333337</v>
      </c>
      <c r="E698">
        <v>100</v>
      </c>
      <c r="F698">
        <v>104</v>
      </c>
      <c r="G698">
        <v>4</v>
      </c>
      <c r="H698" s="1" t="s">
        <v>46</v>
      </c>
      <c r="I698">
        <v>18.5</v>
      </c>
      <c r="J698">
        <v>22</v>
      </c>
      <c r="K698" s="1" t="s">
        <v>47</v>
      </c>
      <c r="L698" s="1" t="s">
        <v>65</v>
      </c>
      <c r="M698">
        <v>0</v>
      </c>
      <c r="N698">
        <v>0</v>
      </c>
      <c r="O698" s="1" t="s">
        <v>27</v>
      </c>
      <c r="P698">
        <v>1</v>
      </c>
      <c r="Q698">
        <v>1</v>
      </c>
      <c r="R698">
        <v>3</v>
      </c>
      <c r="S698">
        <v>17</v>
      </c>
      <c r="T698">
        <v>1</v>
      </c>
      <c r="U698">
        <v>0</v>
      </c>
      <c r="V698">
        <v>5.41</v>
      </c>
    </row>
    <row r="699" spans="1:22">
      <c r="A699" s="1" t="s">
        <v>745</v>
      </c>
      <c r="B699" s="1" t="s">
        <v>29</v>
      </c>
      <c r="C699" s="2">
        <v>46285</v>
      </c>
      <c r="D699" s="3">
        <v>0.32291666666666669</v>
      </c>
      <c r="E699">
        <v>107</v>
      </c>
      <c r="F699">
        <v>109</v>
      </c>
      <c r="G699">
        <v>5</v>
      </c>
      <c r="H699" s="1" t="s">
        <v>30</v>
      </c>
      <c r="I699">
        <v>32</v>
      </c>
      <c r="J699">
        <v>14</v>
      </c>
      <c r="K699" s="1" t="s">
        <v>31</v>
      </c>
      <c r="L699" s="1" t="s">
        <v>38</v>
      </c>
      <c r="M699">
        <v>1</v>
      </c>
      <c r="N699">
        <v>0</v>
      </c>
      <c r="O699" s="1" t="s">
        <v>52</v>
      </c>
      <c r="P699">
        <v>1</v>
      </c>
      <c r="Q699">
        <v>1</v>
      </c>
      <c r="R699">
        <v>8</v>
      </c>
      <c r="S699">
        <v>7</v>
      </c>
      <c r="T699">
        <v>0</v>
      </c>
      <c r="U699">
        <v>1</v>
      </c>
      <c r="V699">
        <v>3.34</v>
      </c>
    </row>
    <row r="700" spans="1:22">
      <c r="A700" s="1" t="s">
        <v>746</v>
      </c>
      <c r="B700" s="1" t="s">
        <v>29</v>
      </c>
      <c r="C700" s="2">
        <v>46294</v>
      </c>
      <c r="D700" s="3">
        <v>0.77083333333333337</v>
      </c>
      <c r="E700">
        <v>78</v>
      </c>
      <c r="F700">
        <v>85</v>
      </c>
      <c r="G700">
        <v>3</v>
      </c>
      <c r="H700" s="1" t="s">
        <v>30</v>
      </c>
      <c r="I700">
        <v>32</v>
      </c>
      <c r="J700">
        <v>14</v>
      </c>
      <c r="K700" s="1" t="s">
        <v>31</v>
      </c>
      <c r="L700" s="1" t="s">
        <v>26</v>
      </c>
      <c r="M700">
        <v>0</v>
      </c>
      <c r="N700">
        <v>0</v>
      </c>
      <c r="O700" s="1" t="s">
        <v>27</v>
      </c>
      <c r="P700">
        <v>1</v>
      </c>
      <c r="Q700">
        <v>1</v>
      </c>
      <c r="R700">
        <v>9</v>
      </c>
      <c r="S700">
        <v>18</v>
      </c>
      <c r="T700">
        <v>1</v>
      </c>
      <c r="U700">
        <v>0</v>
      </c>
      <c r="V700">
        <v>2.44</v>
      </c>
    </row>
    <row r="701" spans="1:22">
      <c r="A701" s="1" t="s">
        <v>747</v>
      </c>
      <c r="B701" s="1" t="s">
        <v>34</v>
      </c>
      <c r="C701" s="2">
        <v>46295</v>
      </c>
      <c r="D701" s="3">
        <v>0.83333333333333337</v>
      </c>
      <c r="E701">
        <v>144</v>
      </c>
      <c r="F701">
        <v>143</v>
      </c>
      <c r="G701">
        <v>6</v>
      </c>
      <c r="H701" s="1" t="s">
        <v>35</v>
      </c>
      <c r="I701">
        <v>12.2</v>
      </c>
      <c r="J701">
        <v>18</v>
      </c>
      <c r="K701" s="1" t="s">
        <v>36</v>
      </c>
      <c r="L701" s="1" t="s">
        <v>69</v>
      </c>
      <c r="M701">
        <v>0</v>
      </c>
      <c r="N701">
        <v>0</v>
      </c>
      <c r="O701" s="1" t="s">
        <v>27</v>
      </c>
      <c r="P701">
        <v>1</v>
      </c>
      <c r="Q701">
        <v>1</v>
      </c>
      <c r="R701">
        <v>1</v>
      </c>
      <c r="S701">
        <v>20</v>
      </c>
      <c r="T701">
        <v>0</v>
      </c>
      <c r="U701">
        <v>0</v>
      </c>
      <c r="V701">
        <v>11.8</v>
      </c>
    </row>
    <row r="702" spans="1:22">
      <c r="A702" s="1" t="s">
        <v>748</v>
      </c>
      <c r="B702" s="1" t="s">
        <v>45</v>
      </c>
      <c r="C702" s="2">
        <v>46282</v>
      </c>
      <c r="D702" s="3">
        <v>0.875</v>
      </c>
      <c r="E702">
        <v>112</v>
      </c>
      <c r="F702">
        <v>110</v>
      </c>
      <c r="G702">
        <v>5</v>
      </c>
      <c r="H702" s="1" t="s">
        <v>46</v>
      </c>
      <c r="I702">
        <v>18.5</v>
      </c>
      <c r="J702">
        <v>22</v>
      </c>
      <c r="K702" s="1" t="s">
        <v>47</v>
      </c>
      <c r="L702" s="1" t="s">
        <v>56</v>
      </c>
      <c r="M702">
        <v>0</v>
      </c>
      <c r="N702">
        <v>0</v>
      </c>
      <c r="O702" s="1" t="s">
        <v>27</v>
      </c>
      <c r="P702">
        <v>1</v>
      </c>
      <c r="Q702">
        <v>1</v>
      </c>
      <c r="R702">
        <v>1</v>
      </c>
      <c r="S702">
        <v>21</v>
      </c>
      <c r="T702">
        <v>0</v>
      </c>
      <c r="U702">
        <v>0</v>
      </c>
      <c r="V702">
        <v>6.05</v>
      </c>
    </row>
    <row r="703" spans="1:22">
      <c r="A703" s="1" t="s">
        <v>749</v>
      </c>
      <c r="B703" s="1" t="s">
        <v>29</v>
      </c>
      <c r="C703" s="2">
        <v>46294</v>
      </c>
      <c r="D703" s="3">
        <v>0.41666666666666669</v>
      </c>
      <c r="E703">
        <v>57</v>
      </c>
      <c r="F703">
        <v>58</v>
      </c>
      <c r="G703">
        <v>3</v>
      </c>
      <c r="H703" s="1" t="s">
        <v>30</v>
      </c>
      <c r="I703">
        <v>32</v>
      </c>
      <c r="J703">
        <v>14</v>
      </c>
      <c r="K703" s="1" t="s">
        <v>31</v>
      </c>
      <c r="L703" s="1" t="s">
        <v>26</v>
      </c>
      <c r="M703">
        <v>0</v>
      </c>
      <c r="N703">
        <v>0</v>
      </c>
      <c r="O703" s="1" t="s">
        <v>27</v>
      </c>
      <c r="P703">
        <v>1</v>
      </c>
      <c r="Q703">
        <v>1</v>
      </c>
      <c r="R703">
        <v>13</v>
      </c>
      <c r="S703">
        <v>10</v>
      </c>
      <c r="T703">
        <v>1</v>
      </c>
      <c r="U703">
        <v>0</v>
      </c>
      <c r="V703">
        <v>1.78</v>
      </c>
    </row>
    <row r="704" spans="1:22">
      <c r="A704" s="1" t="s">
        <v>750</v>
      </c>
      <c r="B704" s="1" t="s">
        <v>29</v>
      </c>
      <c r="C704" s="2">
        <v>46295</v>
      </c>
      <c r="D704" s="3">
        <v>0.75</v>
      </c>
      <c r="E704">
        <v>117</v>
      </c>
      <c r="F704">
        <v>112</v>
      </c>
      <c r="G704">
        <v>5</v>
      </c>
      <c r="H704" s="1" t="s">
        <v>30</v>
      </c>
      <c r="I704">
        <v>32</v>
      </c>
      <c r="J704">
        <v>14</v>
      </c>
      <c r="K704" s="1" t="s">
        <v>31</v>
      </c>
      <c r="L704" s="1" t="s">
        <v>69</v>
      </c>
      <c r="M704">
        <v>0</v>
      </c>
      <c r="N704">
        <v>0</v>
      </c>
      <c r="O704" s="1" t="s">
        <v>27</v>
      </c>
      <c r="P704">
        <v>1</v>
      </c>
      <c r="Q704">
        <v>1</v>
      </c>
      <c r="R704">
        <v>0</v>
      </c>
      <c r="S704">
        <v>18</v>
      </c>
      <c r="T704">
        <v>1</v>
      </c>
      <c r="U704">
        <v>0</v>
      </c>
      <c r="V704">
        <v>3.66</v>
      </c>
    </row>
    <row r="705" spans="1:22">
      <c r="A705" s="1" t="s">
        <v>751</v>
      </c>
      <c r="B705" s="1" t="s">
        <v>45</v>
      </c>
      <c r="C705" s="2">
        <v>46286</v>
      </c>
      <c r="D705" s="3">
        <v>0.52083333333333337</v>
      </c>
      <c r="E705">
        <v>162</v>
      </c>
      <c r="F705">
        <v>154</v>
      </c>
      <c r="G705">
        <v>6</v>
      </c>
      <c r="H705" s="1" t="s">
        <v>46</v>
      </c>
      <c r="I705">
        <v>18.5</v>
      </c>
      <c r="J705">
        <v>22</v>
      </c>
      <c r="K705" s="1" t="s">
        <v>47</v>
      </c>
      <c r="L705" s="1" t="s">
        <v>65</v>
      </c>
      <c r="M705">
        <v>0</v>
      </c>
      <c r="N705">
        <v>0</v>
      </c>
      <c r="O705" s="1" t="s">
        <v>27</v>
      </c>
      <c r="P705">
        <v>1</v>
      </c>
      <c r="Q705">
        <v>1</v>
      </c>
      <c r="R705">
        <v>6</v>
      </c>
      <c r="S705">
        <v>12</v>
      </c>
      <c r="T705">
        <v>0</v>
      </c>
      <c r="U705">
        <v>0</v>
      </c>
      <c r="V705">
        <v>8.76</v>
      </c>
    </row>
    <row r="706" spans="1:22">
      <c r="A706" s="1" t="s">
        <v>752</v>
      </c>
      <c r="B706" s="1" t="s">
        <v>23</v>
      </c>
      <c r="C706" s="2">
        <v>46277</v>
      </c>
      <c r="D706" s="3">
        <v>0.21875</v>
      </c>
      <c r="E706">
        <v>114</v>
      </c>
      <c r="F706">
        <v>114</v>
      </c>
      <c r="G706">
        <v>4</v>
      </c>
      <c r="H706" s="1" t="s">
        <v>24</v>
      </c>
      <c r="I706">
        <v>15</v>
      </c>
      <c r="J706">
        <v>16</v>
      </c>
      <c r="K706" s="1" t="s">
        <v>25</v>
      </c>
      <c r="L706" s="1" t="s">
        <v>32</v>
      </c>
      <c r="M706">
        <v>1</v>
      </c>
      <c r="N706">
        <v>0</v>
      </c>
      <c r="O706" s="1" t="s">
        <v>40</v>
      </c>
      <c r="P706">
        <v>1</v>
      </c>
      <c r="Q706">
        <v>1</v>
      </c>
      <c r="R706">
        <v>4</v>
      </c>
      <c r="S706">
        <v>5</v>
      </c>
      <c r="T706">
        <v>0</v>
      </c>
      <c r="U706">
        <v>1</v>
      </c>
      <c r="V706">
        <v>7.6</v>
      </c>
    </row>
    <row r="707" spans="1:22">
      <c r="A707" s="1" t="s">
        <v>753</v>
      </c>
      <c r="B707" s="1" t="s">
        <v>29</v>
      </c>
      <c r="C707" s="2">
        <v>46290</v>
      </c>
      <c r="D707" s="3">
        <v>0.45833333333333331</v>
      </c>
      <c r="E707">
        <v>89</v>
      </c>
      <c r="F707">
        <v>85</v>
      </c>
      <c r="G707">
        <v>3</v>
      </c>
      <c r="H707" s="1" t="s">
        <v>30</v>
      </c>
      <c r="I707">
        <v>32</v>
      </c>
      <c r="J707">
        <v>14</v>
      </c>
      <c r="K707" s="1" t="s">
        <v>31</v>
      </c>
      <c r="L707" s="1" t="s">
        <v>49</v>
      </c>
      <c r="M707">
        <v>0</v>
      </c>
      <c r="N707">
        <v>0</v>
      </c>
      <c r="O707" s="1" t="s">
        <v>27</v>
      </c>
      <c r="P707">
        <v>1</v>
      </c>
      <c r="Q707">
        <v>1</v>
      </c>
      <c r="R707">
        <v>3</v>
      </c>
      <c r="S707">
        <v>11</v>
      </c>
      <c r="T707">
        <v>0</v>
      </c>
      <c r="U707">
        <v>0</v>
      </c>
      <c r="V707">
        <v>2.78</v>
      </c>
    </row>
    <row r="708" spans="1:22">
      <c r="A708" s="1" t="s">
        <v>754</v>
      </c>
      <c r="B708" s="1" t="s">
        <v>59</v>
      </c>
      <c r="C708" s="2">
        <v>46281</v>
      </c>
      <c r="D708" s="3">
        <v>0.90625</v>
      </c>
      <c r="E708">
        <v>108</v>
      </c>
      <c r="F708">
        <v>101</v>
      </c>
      <c r="G708">
        <v>6</v>
      </c>
      <c r="H708" s="1" t="s">
        <v>60</v>
      </c>
      <c r="I708">
        <v>24.8</v>
      </c>
      <c r="J708">
        <v>28</v>
      </c>
      <c r="K708" s="1" t="s">
        <v>61</v>
      </c>
      <c r="L708" s="1" t="s">
        <v>69</v>
      </c>
      <c r="M708">
        <v>0</v>
      </c>
      <c r="N708">
        <v>0</v>
      </c>
      <c r="O708" s="1" t="s">
        <v>27</v>
      </c>
      <c r="P708">
        <v>1</v>
      </c>
      <c r="Q708">
        <v>1</v>
      </c>
      <c r="R708">
        <v>2</v>
      </c>
      <c r="S708">
        <v>21</v>
      </c>
      <c r="T708">
        <v>0</v>
      </c>
      <c r="U708">
        <v>0</v>
      </c>
      <c r="V708">
        <v>4.3499999999999996</v>
      </c>
    </row>
    <row r="709" spans="1:22">
      <c r="A709" s="1" t="s">
        <v>755</v>
      </c>
      <c r="B709" s="1" t="s">
        <v>23</v>
      </c>
      <c r="C709" s="2">
        <v>46289</v>
      </c>
      <c r="D709" s="3">
        <v>0.60416666666666663</v>
      </c>
      <c r="E709">
        <v>101</v>
      </c>
      <c r="F709">
        <v>95</v>
      </c>
      <c r="G709">
        <v>4</v>
      </c>
      <c r="H709" s="1" t="s">
        <v>24</v>
      </c>
      <c r="I709">
        <v>15</v>
      </c>
      <c r="J709">
        <v>16</v>
      </c>
      <c r="K709" s="1" t="s">
        <v>25</v>
      </c>
      <c r="L709" s="1" t="s">
        <v>56</v>
      </c>
      <c r="M709">
        <v>0</v>
      </c>
      <c r="N709">
        <v>0</v>
      </c>
      <c r="O709" s="1" t="s">
        <v>27</v>
      </c>
      <c r="P709">
        <v>1</v>
      </c>
      <c r="Q709">
        <v>1</v>
      </c>
      <c r="R709">
        <v>1</v>
      </c>
      <c r="S709">
        <v>14</v>
      </c>
      <c r="T709">
        <v>0</v>
      </c>
      <c r="U709">
        <v>0</v>
      </c>
      <c r="V709">
        <v>6.73</v>
      </c>
    </row>
    <row r="710" spans="1:22">
      <c r="A710" s="1" t="s">
        <v>756</v>
      </c>
      <c r="B710" s="1" t="s">
        <v>29</v>
      </c>
      <c r="C710" s="2">
        <v>46277</v>
      </c>
      <c r="D710" s="3">
        <v>0.54166666666666663</v>
      </c>
      <c r="E710">
        <v>165</v>
      </c>
      <c r="F710">
        <v>161</v>
      </c>
      <c r="G710">
        <v>7</v>
      </c>
      <c r="H710" s="1" t="s">
        <v>30</v>
      </c>
      <c r="I710">
        <v>32</v>
      </c>
      <c r="J710">
        <v>14</v>
      </c>
      <c r="K710" s="1" t="s">
        <v>31</v>
      </c>
      <c r="L710" s="1" t="s">
        <v>32</v>
      </c>
      <c r="M710">
        <v>1</v>
      </c>
      <c r="N710">
        <v>0</v>
      </c>
      <c r="O710" s="1" t="s">
        <v>40</v>
      </c>
      <c r="P710">
        <v>1</v>
      </c>
      <c r="Q710">
        <v>1</v>
      </c>
      <c r="R710">
        <v>8</v>
      </c>
      <c r="S710">
        <v>13</v>
      </c>
      <c r="T710">
        <v>0</v>
      </c>
      <c r="U710">
        <v>1</v>
      </c>
      <c r="V710">
        <v>5.16</v>
      </c>
    </row>
    <row r="711" spans="1:22">
      <c r="A711" s="1" t="s">
        <v>757</v>
      </c>
      <c r="B711" s="1" t="s">
        <v>29</v>
      </c>
      <c r="C711" s="2">
        <v>46280</v>
      </c>
      <c r="D711" s="3">
        <v>0.375</v>
      </c>
      <c r="E711">
        <v>99</v>
      </c>
      <c r="F711">
        <v>98</v>
      </c>
      <c r="G711">
        <v>4</v>
      </c>
      <c r="H711" s="1" t="s">
        <v>30</v>
      </c>
      <c r="I711">
        <v>32</v>
      </c>
      <c r="J711">
        <v>14</v>
      </c>
      <c r="K711" s="1" t="s">
        <v>31</v>
      </c>
      <c r="L711" s="1" t="s">
        <v>26</v>
      </c>
      <c r="M711">
        <v>0</v>
      </c>
      <c r="N711">
        <v>0</v>
      </c>
      <c r="O711" s="1" t="s">
        <v>27</v>
      </c>
      <c r="P711">
        <v>1</v>
      </c>
      <c r="Q711">
        <v>1</v>
      </c>
      <c r="R711">
        <v>10</v>
      </c>
      <c r="S711">
        <v>9</v>
      </c>
      <c r="T711">
        <v>1</v>
      </c>
      <c r="U711">
        <v>0</v>
      </c>
      <c r="V711">
        <v>3.09</v>
      </c>
    </row>
    <row r="712" spans="1:22">
      <c r="A712" s="1" t="s">
        <v>758</v>
      </c>
      <c r="B712" s="1" t="s">
        <v>45</v>
      </c>
      <c r="C712" s="2">
        <v>46290</v>
      </c>
      <c r="D712" s="3">
        <v>0.54166666666666663</v>
      </c>
      <c r="E712">
        <v>168</v>
      </c>
      <c r="F712">
        <v>161</v>
      </c>
      <c r="G712">
        <v>6</v>
      </c>
      <c r="H712" s="1" t="s">
        <v>46</v>
      </c>
      <c r="I712">
        <v>18.5</v>
      </c>
      <c r="J712">
        <v>22</v>
      </c>
      <c r="K712" s="1" t="s">
        <v>47</v>
      </c>
      <c r="L712" s="1" t="s">
        <v>49</v>
      </c>
      <c r="M712">
        <v>0</v>
      </c>
      <c r="N712">
        <v>0</v>
      </c>
      <c r="O712" s="1" t="s">
        <v>27</v>
      </c>
      <c r="P712">
        <v>1</v>
      </c>
      <c r="Q712">
        <v>1</v>
      </c>
      <c r="R712">
        <v>16</v>
      </c>
      <c r="S712">
        <v>13</v>
      </c>
      <c r="T712">
        <v>0</v>
      </c>
      <c r="U712">
        <v>0</v>
      </c>
      <c r="V712">
        <v>9.08</v>
      </c>
    </row>
    <row r="713" spans="1:22">
      <c r="A713" s="1" t="s">
        <v>759</v>
      </c>
      <c r="B713" s="1" t="s">
        <v>23</v>
      </c>
      <c r="C713" s="2">
        <v>46275</v>
      </c>
      <c r="D713" s="3">
        <v>0.47916666666666669</v>
      </c>
      <c r="E713">
        <v>18</v>
      </c>
      <c r="F713">
        <v>16</v>
      </c>
      <c r="G713">
        <v>2</v>
      </c>
      <c r="H713" s="1" t="s">
        <v>24</v>
      </c>
      <c r="I713">
        <v>15</v>
      </c>
      <c r="J713">
        <v>16</v>
      </c>
      <c r="K713" s="1" t="s">
        <v>25</v>
      </c>
      <c r="L713" s="1" t="s">
        <v>56</v>
      </c>
      <c r="M713">
        <v>0</v>
      </c>
      <c r="N713">
        <v>0</v>
      </c>
      <c r="O713" s="1" t="s">
        <v>27</v>
      </c>
      <c r="P713">
        <v>1</v>
      </c>
      <c r="Q713">
        <v>1</v>
      </c>
      <c r="R713">
        <v>0</v>
      </c>
      <c r="S713">
        <v>11</v>
      </c>
      <c r="T713">
        <v>0</v>
      </c>
      <c r="U713">
        <v>0</v>
      </c>
      <c r="V713">
        <v>1.2</v>
      </c>
    </row>
    <row r="714" spans="1:22">
      <c r="A714" s="1" t="s">
        <v>760</v>
      </c>
      <c r="B714" s="1" t="s">
        <v>34</v>
      </c>
      <c r="C714" s="2">
        <v>46295</v>
      </c>
      <c r="D714" s="3">
        <v>0.5625</v>
      </c>
      <c r="E714">
        <v>106</v>
      </c>
      <c r="F714">
        <v>117</v>
      </c>
      <c r="G714">
        <v>5</v>
      </c>
      <c r="H714" s="1" t="s">
        <v>35</v>
      </c>
      <c r="I714">
        <v>12.2</v>
      </c>
      <c r="J714">
        <v>18</v>
      </c>
      <c r="K714" s="1" t="s">
        <v>36</v>
      </c>
      <c r="L714" s="1" t="s">
        <v>69</v>
      </c>
      <c r="M714">
        <v>0</v>
      </c>
      <c r="N714">
        <v>0</v>
      </c>
      <c r="O714" s="1" t="s">
        <v>27</v>
      </c>
      <c r="P714">
        <v>1</v>
      </c>
      <c r="Q714">
        <v>1</v>
      </c>
      <c r="R714">
        <v>9</v>
      </c>
      <c r="S714">
        <v>13</v>
      </c>
      <c r="T714">
        <v>0</v>
      </c>
      <c r="U714">
        <v>0</v>
      </c>
      <c r="V714">
        <v>8.69</v>
      </c>
    </row>
    <row r="715" spans="1:22">
      <c r="A715" s="1" t="s">
        <v>761</v>
      </c>
      <c r="B715" s="1" t="s">
        <v>34</v>
      </c>
      <c r="C715" s="2">
        <v>46290</v>
      </c>
      <c r="D715" s="3">
        <v>0.73958333333333337</v>
      </c>
      <c r="E715">
        <v>35</v>
      </c>
      <c r="F715">
        <v>35</v>
      </c>
      <c r="G715">
        <v>4</v>
      </c>
      <c r="H715" s="1" t="s">
        <v>35</v>
      </c>
      <c r="I715">
        <v>12.2</v>
      </c>
      <c r="J715">
        <v>18</v>
      </c>
      <c r="K715" s="1" t="s">
        <v>36</v>
      </c>
      <c r="L715" s="1" t="s">
        <v>49</v>
      </c>
      <c r="M715">
        <v>0</v>
      </c>
      <c r="N715">
        <v>0</v>
      </c>
      <c r="O715" s="1" t="s">
        <v>27</v>
      </c>
      <c r="P715">
        <v>1</v>
      </c>
      <c r="Q715">
        <v>1</v>
      </c>
      <c r="R715">
        <v>3</v>
      </c>
      <c r="S715">
        <v>17</v>
      </c>
      <c r="T715">
        <v>1</v>
      </c>
      <c r="U715">
        <v>0</v>
      </c>
      <c r="V715">
        <v>2.87</v>
      </c>
    </row>
    <row r="716" spans="1:22">
      <c r="A716" s="1" t="s">
        <v>762</v>
      </c>
      <c r="B716" s="1" t="s">
        <v>29</v>
      </c>
      <c r="C716" s="2">
        <v>46272</v>
      </c>
      <c r="D716" s="3">
        <v>0.63541666666666663</v>
      </c>
      <c r="E716">
        <v>103</v>
      </c>
      <c r="F716">
        <v>98</v>
      </c>
      <c r="G716">
        <v>6</v>
      </c>
      <c r="H716" s="1" t="s">
        <v>30</v>
      </c>
      <c r="I716">
        <v>32</v>
      </c>
      <c r="J716">
        <v>14</v>
      </c>
      <c r="K716" s="1" t="s">
        <v>31</v>
      </c>
      <c r="L716" s="1" t="s">
        <v>65</v>
      </c>
      <c r="M716">
        <v>0</v>
      </c>
      <c r="N716">
        <v>0</v>
      </c>
      <c r="O716" s="1" t="s">
        <v>27</v>
      </c>
      <c r="P716">
        <v>1</v>
      </c>
      <c r="Q716">
        <v>1</v>
      </c>
      <c r="R716">
        <v>0</v>
      </c>
      <c r="S716">
        <v>15</v>
      </c>
      <c r="T716">
        <v>0</v>
      </c>
      <c r="U716">
        <v>0</v>
      </c>
      <c r="V716">
        <v>3.22</v>
      </c>
    </row>
    <row r="717" spans="1:22">
      <c r="A717" s="1" t="s">
        <v>763</v>
      </c>
      <c r="B717" s="1" t="s">
        <v>29</v>
      </c>
      <c r="C717" s="2">
        <v>46285</v>
      </c>
      <c r="D717" s="3">
        <v>0.625</v>
      </c>
      <c r="E717">
        <v>105</v>
      </c>
      <c r="F717">
        <v>98</v>
      </c>
      <c r="G717">
        <v>3</v>
      </c>
      <c r="H717" s="1" t="s">
        <v>30</v>
      </c>
      <c r="I717">
        <v>32</v>
      </c>
      <c r="J717">
        <v>14</v>
      </c>
      <c r="K717" s="1" t="s">
        <v>31</v>
      </c>
      <c r="L717" s="1" t="s">
        <v>38</v>
      </c>
      <c r="M717">
        <v>1</v>
      </c>
      <c r="N717">
        <v>0</v>
      </c>
      <c r="O717" s="1" t="s">
        <v>52</v>
      </c>
      <c r="P717">
        <v>1</v>
      </c>
      <c r="Q717">
        <v>1</v>
      </c>
      <c r="R717">
        <v>3</v>
      </c>
      <c r="S717">
        <v>15</v>
      </c>
      <c r="T717">
        <v>0</v>
      </c>
      <c r="U717">
        <v>1</v>
      </c>
      <c r="V717">
        <v>3.28</v>
      </c>
    </row>
    <row r="718" spans="1:22">
      <c r="A718" s="1" t="s">
        <v>764</v>
      </c>
      <c r="B718" s="1" t="s">
        <v>45</v>
      </c>
      <c r="C718" s="2">
        <v>46270</v>
      </c>
      <c r="D718" s="3">
        <v>0.75</v>
      </c>
      <c r="E718">
        <v>128</v>
      </c>
      <c r="F718">
        <v>127</v>
      </c>
      <c r="G718">
        <v>6</v>
      </c>
      <c r="H718" s="1" t="s">
        <v>46</v>
      </c>
      <c r="I718">
        <v>18.5</v>
      </c>
      <c r="J718">
        <v>22</v>
      </c>
      <c r="K718" s="1" t="s">
        <v>47</v>
      </c>
      <c r="L718" s="1" t="s">
        <v>32</v>
      </c>
      <c r="M718">
        <v>1</v>
      </c>
      <c r="N718">
        <v>1</v>
      </c>
      <c r="O718" s="1" t="s">
        <v>27</v>
      </c>
      <c r="P718">
        <v>1</v>
      </c>
      <c r="Q718">
        <v>1</v>
      </c>
      <c r="R718">
        <v>6</v>
      </c>
      <c r="S718">
        <v>18</v>
      </c>
      <c r="T718">
        <v>1</v>
      </c>
      <c r="U718">
        <v>0</v>
      </c>
      <c r="V718">
        <v>6.92</v>
      </c>
    </row>
    <row r="719" spans="1:22">
      <c r="A719" s="1" t="s">
        <v>765</v>
      </c>
      <c r="B719" s="1" t="s">
        <v>29</v>
      </c>
      <c r="C719" s="2">
        <v>46266</v>
      </c>
      <c r="D719" s="3">
        <v>0.23958333333333334</v>
      </c>
      <c r="E719">
        <v>72</v>
      </c>
      <c r="F719">
        <v>80</v>
      </c>
      <c r="G719">
        <v>5</v>
      </c>
      <c r="H719" s="1" t="s">
        <v>30</v>
      </c>
      <c r="I719">
        <v>32</v>
      </c>
      <c r="J719">
        <v>14</v>
      </c>
      <c r="K719" s="1" t="s">
        <v>31</v>
      </c>
      <c r="L719" s="1" t="s">
        <v>26</v>
      </c>
      <c r="M719">
        <v>0</v>
      </c>
      <c r="N719">
        <v>0</v>
      </c>
      <c r="O719" s="1" t="s">
        <v>27</v>
      </c>
      <c r="P719">
        <v>1</v>
      </c>
      <c r="Q719">
        <v>1</v>
      </c>
      <c r="R719">
        <v>0</v>
      </c>
      <c r="S719">
        <v>5</v>
      </c>
      <c r="T719">
        <v>0</v>
      </c>
      <c r="U719">
        <v>0</v>
      </c>
      <c r="V719">
        <v>2.25</v>
      </c>
    </row>
    <row r="720" spans="1:22">
      <c r="A720" s="1" t="s">
        <v>766</v>
      </c>
      <c r="B720" s="1" t="s">
        <v>29</v>
      </c>
      <c r="C720" s="2">
        <v>46295</v>
      </c>
      <c r="D720" s="3">
        <v>0.6875</v>
      </c>
      <c r="E720">
        <v>109</v>
      </c>
      <c r="F720">
        <v>104</v>
      </c>
      <c r="G720">
        <v>6</v>
      </c>
      <c r="H720" s="1" t="s">
        <v>30</v>
      </c>
      <c r="I720">
        <v>32</v>
      </c>
      <c r="J720">
        <v>14</v>
      </c>
      <c r="K720" s="1" t="s">
        <v>31</v>
      </c>
      <c r="L720" s="1" t="s">
        <v>69</v>
      </c>
      <c r="M720">
        <v>0</v>
      </c>
      <c r="N720">
        <v>0</v>
      </c>
      <c r="O720" s="1" t="s">
        <v>27</v>
      </c>
      <c r="P720">
        <v>1</v>
      </c>
      <c r="Q720">
        <v>1</v>
      </c>
      <c r="R720">
        <v>3</v>
      </c>
      <c r="S720">
        <v>16</v>
      </c>
      <c r="T720">
        <v>0</v>
      </c>
      <c r="U720">
        <v>0</v>
      </c>
      <c r="V720">
        <v>3.41</v>
      </c>
    </row>
    <row r="721" spans="1:22">
      <c r="A721" s="1" t="s">
        <v>767</v>
      </c>
      <c r="B721" s="1" t="s">
        <v>34</v>
      </c>
      <c r="C721" s="2">
        <v>46282</v>
      </c>
      <c r="D721" s="3">
        <v>0.69791666666666663</v>
      </c>
      <c r="E721">
        <v>48</v>
      </c>
      <c r="F721">
        <v>47</v>
      </c>
      <c r="G721">
        <v>3</v>
      </c>
      <c r="H721" s="1" t="s">
        <v>35</v>
      </c>
      <c r="I721">
        <v>12.2</v>
      </c>
      <c r="J721">
        <v>18</v>
      </c>
      <c r="K721" s="1" t="s">
        <v>36</v>
      </c>
      <c r="L721" s="1" t="s">
        <v>56</v>
      </c>
      <c r="M721">
        <v>0</v>
      </c>
      <c r="N721">
        <v>0</v>
      </c>
      <c r="O721" s="1" t="s">
        <v>27</v>
      </c>
      <c r="P721">
        <v>1</v>
      </c>
      <c r="Q721">
        <v>1</v>
      </c>
      <c r="R721">
        <v>4</v>
      </c>
      <c r="S721">
        <v>16</v>
      </c>
      <c r="T721">
        <v>0</v>
      </c>
      <c r="U721">
        <v>0</v>
      </c>
      <c r="V721">
        <v>3.93</v>
      </c>
    </row>
    <row r="722" spans="1:22">
      <c r="A722" s="1" t="s">
        <v>768</v>
      </c>
      <c r="B722" s="1" t="s">
        <v>29</v>
      </c>
      <c r="C722" s="2">
        <v>46268</v>
      </c>
      <c r="D722" s="3">
        <v>0.5</v>
      </c>
      <c r="E722">
        <v>96</v>
      </c>
      <c r="F722">
        <v>100</v>
      </c>
      <c r="G722">
        <v>4</v>
      </c>
      <c r="H722" s="1" t="s">
        <v>30</v>
      </c>
      <c r="I722">
        <v>32</v>
      </c>
      <c r="J722">
        <v>14</v>
      </c>
      <c r="K722" s="1" t="s">
        <v>31</v>
      </c>
      <c r="L722" s="1" t="s">
        <v>56</v>
      </c>
      <c r="M722">
        <v>0</v>
      </c>
      <c r="N722">
        <v>0</v>
      </c>
      <c r="O722" s="1" t="s">
        <v>27</v>
      </c>
      <c r="P722">
        <v>1</v>
      </c>
      <c r="Q722">
        <v>1</v>
      </c>
      <c r="R722">
        <v>5</v>
      </c>
      <c r="S722">
        <v>12</v>
      </c>
      <c r="T722">
        <v>0</v>
      </c>
      <c r="U722">
        <v>0</v>
      </c>
      <c r="V722">
        <v>3</v>
      </c>
    </row>
    <row r="723" spans="1:22">
      <c r="A723" s="1" t="s">
        <v>769</v>
      </c>
      <c r="B723" s="1" t="s">
        <v>34</v>
      </c>
      <c r="C723" s="2">
        <v>46278</v>
      </c>
      <c r="D723" s="3">
        <v>0.73958333333333337</v>
      </c>
      <c r="E723">
        <v>103</v>
      </c>
      <c r="F723">
        <v>103</v>
      </c>
      <c r="G723">
        <v>3</v>
      </c>
      <c r="H723" s="1" t="s">
        <v>35</v>
      </c>
      <c r="I723">
        <v>12.2</v>
      </c>
      <c r="J723">
        <v>18</v>
      </c>
      <c r="K723" s="1" t="s">
        <v>36</v>
      </c>
      <c r="L723" s="1" t="s">
        <v>38</v>
      </c>
      <c r="M723">
        <v>1</v>
      </c>
      <c r="N723">
        <v>0</v>
      </c>
      <c r="O723" s="1" t="s">
        <v>27</v>
      </c>
      <c r="P723">
        <v>1</v>
      </c>
      <c r="Q723">
        <v>1</v>
      </c>
      <c r="R723">
        <v>4</v>
      </c>
      <c r="S723">
        <v>17</v>
      </c>
      <c r="T723">
        <v>1</v>
      </c>
      <c r="U723">
        <v>0</v>
      </c>
      <c r="V723">
        <v>8.44</v>
      </c>
    </row>
    <row r="724" spans="1:22">
      <c r="A724" s="1" t="s">
        <v>770</v>
      </c>
      <c r="B724" s="1" t="s">
        <v>23</v>
      </c>
      <c r="C724" s="2">
        <v>46279</v>
      </c>
      <c r="D724" s="3">
        <v>0.83333333333333337</v>
      </c>
      <c r="E724">
        <v>184</v>
      </c>
      <c r="F724">
        <v>181</v>
      </c>
      <c r="G724">
        <v>7</v>
      </c>
      <c r="H724" s="1" t="s">
        <v>24</v>
      </c>
      <c r="I724">
        <v>15</v>
      </c>
      <c r="J724">
        <v>16</v>
      </c>
      <c r="K724" s="1" t="s">
        <v>25</v>
      </c>
      <c r="L724" s="1" t="s">
        <v>65</v>
      </c>
      <c r="M724">
        <v>0</v>
      </c>
      <c r="N724">
        <v>0</v>
      </c>
      <c r="O724" s="1" t="s">
        <v>27</v>
      </c>
      <c r="P724">
        <v>1</v>
      </c>
      <c r="Q724">
        <v>1</v>
      </c>
      <c r="R724">
        <v>8</v>
      </c>
      <c r="S724">
        <v>20</v>
      </c>
      <c r="T724">
        <v>0</v>
      </c>
      <c r="U724">
        <v>0</v>
      </c>
      <c r="V724">
        <v>12.27</v>
      </c>
    </row>
    <row r="725" spans="1:22">
      <c r="A725" s="1" t="s">
        <v>771</v>
      </c>
      <c r="B725" s="1" t="s">
        <v>45</v>
      </c>
      <c r="C725" s="2">
        <v>46289</v>
      </c>
      <c r="D725" s="3">
        <v>0.71875</v>
      </c>
      <c r="E725">
        <v>179</v>
      </c>
      <c r="F725">
        <v>178</v>
      </c>
      <c r="G725">
        <v>6</v>
      </c>
      <c r="H725" s="1" t="s">
        <v>46</v>
      </c>
      <c r="I725">
        <v>18.5</v>
      </c>
      <c r="J725">
        <v>22</v>
      </c>
      <c r="K725" s="1" t="s">
        <v>47</v>
      </c>
      <c r="L725" s="1" t="s">
        <v>56</v>
      </c>
      <c r="M725">
        <v>0</v>
      </c>
      <c r="N725">
        <v>0</v>
      </c>
      <c r="O725" s="1" t="s">
        <v>27</v>
      </c>
      <c r="P725">
        <v>1</v>
      </c>
      <c r="Q725">
        <v>1</v>
      </c>
      <c r="R725">
        <v>0</v>
      </c>
      <c r="S725">
        <v>17</v>
      </c>
      <c r="T725">
        <v>1</v>
      </c>
      <c r="U725">
        <v>0</v>
      </c>
      <c r="V725">
        <v>9.68</v>
      </c>
    </row>
    <row r="726" spans="1:22">
      <c r="A726" s="1" t="s">
        <v>772</v>
      </c>
      <c r="B726" s="1" t="s">
        <v>23</v>
      </c>
      <c r="C726" s="2">
        <v>46295</v>
      </c>
      <c r="D726" s="3">
        <v>0.48958333333333331</v>
      </c>
      <c r="E726">
        <v>38</v>
      </c>
      <c r="F726">
        <v>42</v>
      </c>
      <c r="G726">
        <v>3</v>
      </c>
      <c r="H726" s="1" t="s">
        <v>24</v>
      </c>
      <c r="I726">
        <v>15</v>
      </c>
      <c r="J726">
        <v>16</v>
      </c>
      <c r="K726" s="1" t="s">
        <v>25</v>
      </c>
      <c r="L726" s="1" t="s">
        <v>69</v>
      </c>
      <c r="M726">
        <v>0</v>
      </c>
      <c r="N726">
        <v>0</v>
      </c>
      <c r="O726" s="1" t="s">
        <v>27</v>
      </c>
      <c r="P726">
        <v>1</v>
      </c>
      <c r="Q726">
        <v>1</v>
      </c>
      <c r="R726">
        <v>4</v>
      </c>
      <c r="S726">
        <v>11</v>
      </c>
      <c r="T726">
        <v>0</v>
      </c>
      <c r="U726">
        <v>0</v>
      </c>
      <c r="V726">
        <v>2.5299999999999998</v>
      </c>
    </row>
    <row r="727" spans="1:22">
      <c r="A727" s="1" t="s">
        <v>773</v>
      </c>
      <c r="B727" s="1" t="s">
        <v>34</v>
      </c>
      <c r="C727" s="2">
        <v>46283</v>
      </c>
      <c r="D727" s="3">
        <v>0.40625</v>
      </c>
      <c r="E727">
        <v>94</v>
      </c>
      <c r="F727">
        <v>92</v>
      </c>
      <c r="G727">
        <v>3</v>
      </c>
      <c r="H727" s="1" t="s">
        <v>35</v>
      </c>
      <c r="I727">
        <v>12.2</v>
      </c>
      <c r="J727">
        <v>18</v>
      </c>
      <c r="K727" s="1" t="s">
        <v>36</v>
      </c>
      <c r="L727" s="1" t="s">
        <v>49</v>
      </c>
      <c r="M727">
        <v>0</v>
      </c>
      <c r="N727">
        <v>0</v>
      </c>
      <c r="O727" s="1" t="s">
        <v>27</v>
      </c>
      <c r="P727">
        <v>1</v>
      </c>
      <c r="Q727">
        <v>1</v>
      </c>
      <c r="R727">
        <v>6</v>
      </c>
      <c r="S727">
        <v>9</v>
      </c>
      <c r="T727">
        <v>1</v>
      </c>
      <c r="U727">
        <v>0</v>
      </c>
      <c r="V727">
        <v>7.7</v>
      </c>
    </row>
    <row r="728" spans="1:22">
      <c r="A728" s="1" t="s">
        <v>774</v>
      </c>
      <c r="B728" s="1" t="s">
        <v>34</v>
      </c>
      <c r="C728" s="2">
        <v>46269</v>
      </c>
      <c r="D728" s="3">
        <v>0.77083333333333337</v>
      </c>
      <c r="E728">
        <v>59</v>
      </c>
      <c r="F728">
        <v>61</v>
      </c>
      <c r="G728">
        <v>5</v>
      </c>
      <c r="H728" s="1" t="s">
        <v>35</v>
      </c>
      <c r="I728">
        <v>12.2</v>
      </c>
      <c r="J728">
        <v>18</v>
      </c>
      <c r="K728" s="1" t="s">
        <v>36</v>
      </c>
      <c r="L728" s="1" t="s">
        <v>49</v>
      </c>
      <c r="M728">
        <v>0</v>
      </c>
      <c r="N728">
        <v>0</v>
      </c>
      <c r="O728" s="1" t="s">
        <v>27</v>
      </c>
      <c r="P728">
        <v>1</v>
      </c>
      <c r="Q728">
        <v>1</v>
      </c>
      <c r="R728">
        <v>3</v>
      </c>
      <c r="S728">
        <v>18</v>
      </c>
      <c r="T728">
        <v>1</v>
      </c>
      <c r="U728">
        <v>0</v>
      </c>
      <c r="V728">
        <v>4.84</v>
      </c>
    </row>
    <row r="729" spans="1:22">
      <c r="A729" s="1" t="s">
        <v>775</v>
      </c>
      <c r="B729" s="1" t="s">
        <v>45</v>
      </c>
      <c r="C729" s="2">
        <v>46283</v>
      </c>
      <c r="D729" s="3">
        <v>0.72916666666666663</v>
      </c>
      <c r="E729">
        <v>139</v>
      </c>
      <c r="F729">
        <v>140</v>
      </c>
      <c r="G729">
        <v>5</v>
      </c>
      <c r="H729" s="1" t="s">
        <v>46</v>
      </c>
      <c r="I729">
        <v>18.5</v>
      </c>
      <c r="J729">
        <v>22</v>
      </c>
      <c r="K729" s="1" t="s">
        <v>47</v>
      </c>
      <c r="L729" s="1" t="s">
        <v>49</v>
      </c>
      <c r="M729">
        <v>0</v>
      </c>
      <c r="N729">
        <v>0</v>
      </c>
      <c r="O729" s="1" t="s">
        <v>27</v>
      </c>
      <c r="P729">
        <v>1</v>
      </c>
      <c r="Q729">
        <v>1</v>
      </c>
      <c r="R729">
        <v>16</v>
      </c>
      <c r="S729">
        <v>17</v>
      </c>
      <c r="T729">
        <v>1</v>
      </c>
      <c r="U729">
        <v>0</v>
      </c>
      <c r="V729">
        <v>7.51</v>
      </c>
    </row>
    <row r="730" spans="1:22">
      <c r="A730" s="1" t="s">
        <v>776</v>
      </c>
      <c r="B730" s="1" t="s">
        <v>45</v>
      </c>
      <c r="C730" s="2">
        <v>46295</v>
      </c>
      <c r="D730" s="3">
        <v>0.89583333333333337</v>
      </c>
      <c r="E730">
        <v>125</v>
      </c>
      <c r="F730">
        <v>130</v>
      </c>
      <c r="G730">
        <v>4</v>
      </c>
      <c r="H730" s="1" t="s">
        <v>46</v>
      </c>
      <c r="I730">
        <v>18.5</v>
      </c>
      <c r="J730">
        <v>22</v>
      </c>
      <c r="K730" s="1" t="s">
        <v>47</v>
      </c>
      <c r="L730" s="1" t="s">
        <v>69</v>
      </c>
      <c r="M730">
        <v>0</v>
      </c>
      <c r="N730">
        <v>0</v>
      </c>
      <c r="O730" s="1" t="s">
        <v>27</v>
      </c>
      <c r="P730">
        <v>1</v>
      </c>
      <c r="Q730">
        <v>1</v>
      </c>
      <c r="R730">
        <v>7</v>
      </c>
      <c r="S730">
        <v>21</v>
      </c>
      <c r="T730">
        <v>0</v>
      </c>
      <c r="U730">
        <v>0</v>
      </c>
      <c r="V730">
        <v>6.76</v>
      </c>
    </row>
    <row r="731" spans="1:22">
      <c r="A731" s="1" t="s">
        <v>777</v>
      </c>
      <c r="B731" s="1" t="s">
        <v>23</v>
      </c>
      <c r="C731" s="2">
        <v>46270</v>
      </c>
      <c r="D731" s="3">
        <v>0.92708333333333337</v>
      </c>
      <c r="E731">
        <v>124</v>
      </c>
      <c r="F731">
        <v>126</v>
      </c>
      <c r="G731">
        <v>5</v>
      </c>
      <c r="H731" s="1" t="s">
        <v>24</v>
      </c>
      <c r="I731">
        <v>15</v>
      </c>
      <c r="J731">
        <v>16</v>
      </c>
      <c r="K731" s="1" t="s">
        <v>25</v>
      </c>
      <c r="L731" s="1" t="s">
        <v>32</v>
      </c>
      <c r="M731">
        <v>1</v>
      </c>
      <c r="N731">
        <v>1</v>
      </c>
      <c r="O731" s="1" t="s">
        <v>27</v>
      </c>
      <c r="P731">
        <v>1</v>
      </c>
      <c r="Q731">
        <v>1</v>
      </c>
      <c r="R731">
        <v>0</v>
      </c>
      <c r="S731">
        <v>22</v>
      </c>
      <c r="T731">
        <v>0</v>
      </c>
      <c r="U731">
        <v>0</v>
      </c>
      <c r="V731">
        <v>8.27</v>
      </c>
    </row>
    <row r="732" spans="1:22">
      <c r="A732" s="1" t="s">
        <v>778</v>
      </c>
      <c r="B732" s="1" t="s">
        <v>59</v>
      </c>
      <c r="C732" s="2">
        <v>46290</v>
      </c>
      <c r="D732" s="3">
        <v>0.28125</v>
      </c>
      <c r="E732">
        <v>53</v>
      </c>
      <c r="F732">
        <v>53</v>
      </c>
      <c r="G732">
        <v>4</v>
      </c>
      <c r="H732" s="1" t="s">
        <v>60</v>
      </c>
      <c r="I732">
        <v>24.8</v>
      </c>
      <c r="J732">
        <v>28</v>
      </c>
      <c r="K732" s="1" t="s">
        <v>61</v>
      </c>
      <c r="L732" s="1" t="s">
        <v>49</v>
      </c>
      <c r="M732">
        <v>0</v>
      </c>
      <c r="N732">
        <v>0</v>
      </c>
      <c r="O732" s="1" t="s">
        <v>27</v>
      </c>
      <c r="P732">
        <v>1</v>
      </c>
      <c r="Q732">
        <v>1</v>
      </c>
      <c r="R732">
        <v>0</v>
      </c>
      <c r="S732">
        <v>6</v>
      </c>
      <c r="T732">
        <v>0</v>
      </c>
      <c r="U732">
        <v>0</v>
      </c>
      <c r="V732">
        <v>2.14</v>
      </c>
    </row>
    <row r="733" spans="1:22">
      <c r="A733" s="1" t="s">
        <v>779</v>
      </c>
      <c r="B733" s="1" t="s">
        <v>23</v>
      </c>
      <c r="C733" s="2">
        <v>46281</v>
      </c>
      <c r="D733" s="3">
        <v>0.22916666666666666</v>
      </c>
      <c r="E733">
        <v>156</v>
      </c>
      <c r="F733">
        <v>159</v>
      </c>
      <c r="G733">
        <v>7</v>
      </c>
      <c r="H733" s="1" t="s">
        <v>24</v>
      </c>
      <c r="I733">
        <v>15</v>
      </c>
      <c r="J733">
        <v>16</v>
      </c>
      <c r="K733" s="1" t="s">
        <v>25</v>
      </c>
      <c r="L733" s="1" t="s">
        <v>69</v>
      </c>
      <c r="M733">
        <v>0</v>
      </c>
      <c r="N733">
        <v>0</v>
      </c>
      <c r="O733" s="1" t="s">
        <v>27</v>
      </c>
      <c r="P733">
        <v>1</v>
      </c>
      <c r="Q733">
        <v>1</v>
      </c>
      <c r="R733">
        <v>5</v>
      </c>
      <c r="S733">
        <v>5</v>
      </c>
      <c r="T733">
        <v>0</v>
      </c>
      <c r="U733">
        <v>0</v>
      </c>
      <c r="V733">
        <v>10.4</v>
      </c>
    </row>
    <row r="734" spans="1:22">
      <c r="A734" s="1" t="s">
        <v>780</v>
      </c>
      <c r="B734" s="1" t="s">
        <v>45</v>
      </c>
      <c r="C734" s="2">
        <v>46266</v>
      </c>
      <c r="D734" s="3">
        <v>0.34375</v>
      </c>
      <c r="E734">
        <v>42</v>
      </c>
      <c r="F734">
        <v>29</v>
      </c>
      <c r="G734">
        <v>4</v>
      </c>
      <c r="H734" s="1" t="s">
        <v>46</v>
      </c>
      <c r="I734">
        <v>18.5</v>
      </c>
      <c r="J734">
        <v>22</v>
      </c>
      <c r="K734" s="1" t="s">
        <v>47</v>
      </c>
      <c r="L734" s="1" t="s">
        <v>26</v>
      </c>
      <c r="M734">
        <v>0</v>
      </c>
      <c r="N734">
        <v>0</v>
      </c>
      <c r="O734" s="1" t="s">
        <v>27</v>
      </c>
      <c r="P734">
        <v>1</v>
      </c>
      <c r="Q734">
        <v>1</v>
      </c>
      <c r="R734">
        <v>4</v>
      </c>
      <c r="S734">
        <v>8</v>
      </c>
      <c r="T734">
        <v>1</v>
      </c>
      <c r="U734">
        <v>0</v>
      </c>
      <c r="V734">
        <v>2.27</v>
      </c>
    </row>
    <row r="735" spans="1:22">
      <c r="A735" s="1" t="s">
        <v>781</v>
      </c>
      <c r="B735" s="1" t="s">
        <v>34</v>
      </c>
      <c r="C735" s="2">
        <v>46286</v>
      </c>
      <c r="D735" s="3">
        <v>0.39583333333333331</v>
      </c>
      <c r="E735">
        <v>146</v>
      </c>
      <c r="F735">
        <v>138</v>
      </c>
      <c r="G735">
        <v>6</v>
      </c>
      <c r="H735" s="1" t="s">
        <v>35</v>
      </c>
      <c r="I735">
        <v>12.2</v>
      </c>
      <c r="J735">
        <v>18</v>
      </c>
      <c r="K735" s="1" t="s">
        <v>36</v>
      </c>
      <c r="L735" s="1" t="s">
        <v>65</v>
      </c>
      <c r="M735">
        <v>0</v>
      </c>
      <c r="N735">
        <v>0</v>
      </c>
      <c r="O735" s="1" t="s">
        <v>27</v>
      </c>
      <c r="P735">
        <v>1</v>
      </c>
      <c r="Q735">
        <v>1</v>
      </c>
      <c r="R735">
        <v>8</v>
      </c>
      <c r="S735">
        <v>9</v>
      </c>
      <c r="T735">
        <v>1</v>
      </c>
      <c r="U735">
        <v>0</v>
      </c>
      <c r="V735">
        <v>11.97</v>
      </c>
    </row>
    <row r="736" spans="1:22">
      <c r="A736" s="1" t="s">
        <v>782</v>
      </c>
      <c r="B736" s="1" t="s">
        <v>29</v>
      </c>
      <c r="C736" s="2">
        <v>46279</v>
      </c>
      <c r="D736" s="3">
        <v>0.82291666666666663</v>
      </c>
      <c r="E736">
        <v>101</v>
      </c>
      <c r="F736">
        <v>92</v>
      </c>
      <c r="G736">
        <v>6</v>
      </c>
      <c r="H736" s="1" t="s">
        <v>30</v>
      </c>
      <c r="I736">
        <v>32</v>
      </c>
      <c r="J736">
        <v>14</v>
      </c>
      <c r="K736" s="1" t="s">
        <v>31</v>
      </c>
      <c r="L736" s="1" t="s">
        <v>65</v>
      </c>
      <c r="M736">
        <v>0</v>
      </c>
      <c r="N736">
        <v>0</v>
      </c>
      <c r="O736" s="1" t="s">
        <v>27</v>
      </c>
      <c r="P736">
        <v>1</v>
      </c>
      <c r="Q736">
        <v>1</v>
      </c>
      <c r="R736">
        <v>4</v>
      </c>
      <c r="S736">
        <v>19</v>
      </c>
      <c r="T736">
        <v>1</v>
      </c>
      <c r="U736">
        <v>0</v>
      </c>
      <c r="V736">
        <v>3.16</v>
      </c>
    </row>
    <row r="737" spans="1:22">
      <c r="A737" s="1" t="s">
        <v>783</v>
      </c>
      <c r="B737" s="1" t="s">
        <v>23</v>
      </c>
      <c r="C737" s="2">
        <v>46280</v>
      </c>
      <c r="D737" s="3">
        <v>0.53125</v>
      </c>
      <c r="E737">
        <v>153</v>
      </c>
      <c r="F737">
        <v>142</v>
      </c>
      <c r="G737">
        <v>6</v>
      </c>
      <c r="H737" s="1" t="s">
        <v>24</v>
      </c>
      <c r="I737">
        <v>15</v>
      </c>
      <c r="J737">
        <v>16</v>
      </c>
      <c r="K737" s="1" t="s">
        <v>25</v>
      </c>
      <c r="L737" s="1" t="s">
        <v>26</v>
      </c>
      <c r="M737">
        <v>0</v>
      </c>
      <c r="N737">
        <v>0</v>
      </c>
      <c r="O737" s="1" t="s">
        <v>27</v>
      </c>
      <c r="P737">
        <v>1</v>
      </c>
      <c r="Q737">
        <v>1</v>
      </c>
      <c r="R737">
        <v>15</v>
      </c>
      <c r="S737">
        <v>12</v>
      </c>
      <c r="T737">
        <v>0</v>
      </c>
      <c r="U737">
        <v>0</v>
      </c>
      <c r="V737">
        <v>10.199999999999999</v>
      </c>
    </row>
    <row r="738" spans="1:22">
      <c r="A738" s="1" t="s">
        <v>784</v>
      </c>
      <c r="B738" s="1" t="s">
        <v>34</v>
      </c>
      <c r="C738" s="2">
        <v>46274</v>
      </c>
      <c r="D738" s="3">
        <v>0.875</v>
      </c>
      <c r="E738">
        <v>123</v>
      </c>
      <c r="F738">
        <v>120</v>
      </c>
      <c r="G738">
        <v>4</v>
      </c>
      <c r="H738" s="1" t="s">
        <v>35</v>
      </c>
      <c r="I738">
        <v>12.2</v>
      </c>
      <c r="J738">
        <v>18</v>
      </c>
      <c r="K738" s="1" t="s">
        <v>36</v>
      </c>
      <c r="L738" s="1" t="s">
        <v>69</v>
      </c>
      <c r="M738">
        <v>0</v>
      </c>
      <c r="N738">
        <v>0</v>
      </c>
      <c r="O738" s="1" t="s">
        <v>27</v>
      </c>
      <c r="P738">
        <v>1</v>
      </c>
      <c r="Q738">
        <v>1</v>
      </c>
      <c r="R738">
        <v>7</v>
      </c>
      <c r="S738">
        <v>21</v>
      </c>
      <c r="T738">
        <v>0</v>
      </c>
      <c r="U738">
        <v>0</v>
      </c>
      <c r="V738">
        <v>10.08</v>
      </c>
    </row>
    <row r="739" spans="1:22">
      <c r="A739" s="1" t="s">
        <v>785</v>
      </c>
      <c r="B739" s="1" t="s">
        <v>29</v>
      </c>
      <c r="C739" s="2">
        <v>46280</v>
      </c>
      <c r="D739" s="3">
        <v>0.67708333333333337</v>
      </c>
      <c r="E739">
        <v>133</v>
      </c>
      <c r="F739">
        <v>138</v>
      </c>
      <c r="G739">
        <v>5</v>
      </c>
      <c r="H739" s="1" t="s">
        <v>30</v>
      </c>
      <c r="I739">
        <v>32</v>
      </c>
      <c r="J739">
        <v>14</v>
      </c>
      <c r="K739" s="1" t="s">
        <v>31</v>
      </c>
      <c r="L739" s="1" t="s">
        <v>26</v>
      </c>
      <c r="M739">
        <v>0</v>
      </c>
      <c r="N739">
        <v>0</v>
      </c>
      <c r="O739" s="1" t="s">
        <v>27</v>
      </c>
      <c r="P739">
        <v>1</v>
      </c>
      <c r="Q739">
        <v>1</v>
      </c>
      <c r="R739">
        <v>0</v>
      </c>
      <c r="S739">
        <v>16</v>
      </c>
      <c r="T739">
        <v>0</v>
      </c>
      <c r="U739">
        <v>0</v>
      </c>
      <c r="V739">
        <v>4.16</v>
      </c>
    </row>
    <row r="740" spans="1:22">
      <c r="A740" s="1" t="s">
        <v>786</v>
      </c>
      <c r="B740" s="1" t="s">
        <v>29</v>
      </c>
      <c r="C740" s="2">
        <v>46282</v>
      </c>
      <c r="D740" s="3">
        <v>0.79166666666666663</v>
      </c>
      <c r="E740">
        <v>16</v>
      </c>
      <c r="F740">
        <v>12</v>
      </c>
      <c r="G740">
        <v>3</v>
      </c>
      <c r="H740" s="1" t="s">
        <v>30</v>
      </c>
      <c r="I740">
        <v>32</v>
      </c>
      <c r="J740">
        <v>14</v>
      </c>
      <c r="K740" s="1" t="s">
        <v>31</v>
      </c>
      <c r="L740" s="1" t="s">
        <v>56</v>
      </c>
      <c r="M740">
        <v>0</v>
      </c>
      <c r="N740">
        <v>0</v>
      </c>
      <c r="O740" s="1" t="s">
        <v>27</v>
      </c>
      <c r="P740">
        <v>1</v>
      </c>
      <c r="Q740">
        <v>1</v>
      </c>
      <c r="R740">
        <v>2</v>
      </c>
      <c r="S740">
        <v>19</v>
      </c>
      <c r="T740">
        <v>1</v>
      </c>
      <c r="U740">
        <v>0</v>
      </c>
      <c r="V740">
        <v>0.5</v>
      </c>
    </row>
    <row r="741" spans="1:22">
      <c r="A741" s="1" t="s">
        <v>787</v>
      </c>
      <c r="B741" s="1" t="s">
        <v>45</v>
      </c>
      <c r="C741" s="2">
        <v>46290</v>
      </c>
      <c r="D741" s="3">
        <v>0.46875</v>
      </c>
      <c r="E741">
        <v>98</v>
      </c>
      <c r="F741">
        <v>99</v>
      </c>
      <c r="G741">
        <v>5</v>
      </c>
      <c r="H741" s="1" t="s">
        <v>46</v>
      </c>
      <c r="I741">
        <v>18.5</v>
      </c>
      <c r="J741">
        <v>22</v>
      </c>
      <c r="K741" s="1" t="s">
        <v>47</v>
      </c>
      <c r="L741" s="1" t="s">
        <v>49</v>
      </c>
      <c r="M741">
        <v>0</v>
      </c>
      <c r="N741">
        <v>0</v>
      </c>
      <c r="O741" s="1" t="s">
        <v>27</v>
      </c>
      <c r="P741">
        <v>1</v>
      </c>
      <c r="Q741">
        <v>1</v>
      </c>
      <c r="R741">
        <v>5</v>
      </c>
      <c r="S741">
        <v>11</v>
      </c>
      <c r="T741">
        <v>0</v>
      </c>
      <c r="U741">
        <v>0</v>
      </c>
      <c r="V741">
        <v>5.3</v>
      </c>
    </row>
    <row r="742" spans="1:22">
      <c r="A742" s="1" t="s">
        <v>788</v>
      </c>
      <c r="B742" s="1" t="s">
        <v>23</v>
      </c>
      <c r="C742" s="2">
        <v>46289</v>
      </c>
      <c r="D742" s="3">
        <v>0.55208333333333337</v>
      </c>
      <c r="E742">
        <v>75</v>
      </c>
      <c r="F742">
        <v>73</v>
      </c>
      <c r="G742">
        <v>4</v>
      </c>
      <c r="H742" s="1" t="s">
        <v>24</v>
      </c>
      <c r="I742">
        <v>15</v>
      </c>
      <c r="J742">
        <v>16</v>
      </c>
      <c r="K742" s="1" t="s">
        <v>25</v>
      </c>
      <c r="L742" s="1" t="s">
        <v>56</v>
      </c>
      <c r="M742">
        <v>0</v>
      </c>
      <c r="N742">
        <v>0</v>
      </c>
      <c r="O742" s="1" t="s">
        <v>27</v>
      </c>
      <c r="P742">
        <v>1</v>
      </c>
      <c r="Q742">
        <v>1</v>
      </c>
      <c r="R742">
        <v>6</v>
      </c>
      <c r="S742">
        <v>13</v>
      </c>
      <c r="T742">
        <v>0</v>
      </c>
      <c r="U742">
        <v>0</v>
      </c>
      <c r="V742">
        <v>5</v>
      </c>
    </row>
    <row r="743" spans="1:22">
      <c r="A743" s="1" t="s">
        <v>789</v>
      </c>
      <c r="B743" s="1" t="s">
        <v>29</v>
      </c>
      <c r="C743" s="2">
        <v>46269</v>
      </c>
      <c r="D743" s="3">
        <v>0.27083333333333331</v>
      </c>
      <c r="E743">
        <v>102</v>
      </c>
      <c r="F743">
        <v>96</v>
      </c>
      <c r="G743">
        <v>3</v>
      </c>
      <c r="H743" s="1" t="s">
        <v>30</v>
      </c>
      <c r="I743">
        <v>32</v>
      </c>
      <c r="J743">
        <v>14</v>
      </c>
      <c r="K743" s="1" t="s">
        <v>31</v>
      </c>
      <c r="L743" s="1" t="s">
        <v>49</v>
      </c>
      <c r="M743">
        <v>0</v>
      </c>
      <c r="N743">
        <v>0</v>
      </c>
      <c r="O743" s="1" t="s">
        <v>27</v>
      </c>
      <c r="P743">
        <v>1</v>
      </c>
      <c r="Q743">
        <v>1</v>
      </c>
      <c r="R743">
        <v>0</v>
      </c>
      <c r="S743">
        <v>6</v>
      </c>
      <c r="T743">
        <v>0</v>
      </c>
      <c r="U743">
        <v>0</v>
      </c>
      <c r="V743">
        <v>3.19</v>
      </c>
    </row>
    <row r="744" spans="1:22">
      <c r="A744" s="1" t="s">
        <v>790</v>
      </c>
      <c r="B744" s="1" t="s">
        <v>45</v>
      </c>
      <c r="C744" s="2">
        <v>46277</v>
      </c>
      <c r="D744" s="3">
        <v>0.625</v>
      </c>
      <c r="E744">
        <v>74</v>
      </c>
      <c r="F744">
        <v>90</v>
      </c>
      <c r="G744">
        <v>6</v>
      </c>
      <c r="H744" s="1" t="s">
        <v>46</v>
      </c>
      <c r="I744">
        <v>18.5</v>
      </c>
      <c r="J744">
        <v>22</v>
      </c>
      <c r="K744" s="1" t="s">
        <v>47</v>
      </c>
      <c r="L744" s="1" t="s">
        <v>32</v>
      </c>
      <c r="M744">
        <v>1</v>
      </c>
      <c r="N744">
        <v>0</v>
      </c>
      <c r="O744" s="1" t="s">
        <v>40</v>
      </c>
      <c r="P744">
        <v>1</v>
      </c>
      <c r="Q744">
        <v>1</v>
      </c>
      <c r="R744">
        <v>4</v>
      </c>
      <c r="S744">
        <v>15</v>
      </c>
      <c r="T744">
        <v>0</v>
      </c>
      <c r="U744">
        <v>1</v>
      </c>
      <c r="V744">
        <v>4</v>
      </c>
    </row>
    <row r="745" spans="1:22">
      <c r="A745" s="1" t="s">
        <v>791</v>
      </c>
      <c r="B745" s="1" t="s">
        <v>45</v>
      </c>
      <c r="C745" s="2">
        <v>46292</v>
      </c>
      <c r="D745" s="3">
        <v>0.59375</v>
      </c>
      <c r="E745">
        <v>141</v>
      </c>
      <c r="F745">
        <v>128</v>
      </c>
      <c r="G745">
        <v>6</v>
      </c>
      <c r="H745" s="1" t="s">
        <v>46</v>
      </c>
      <c r="I745">
        <v>18.5</v>
      </c>
      <c r="J745">
        <v>22</v>
      </c>
      <c r="K745" s="1" t="s">
        <v>47</v>
      </c>
      <c r="L745" s="1" t="s">
        <v>38</v>
      </c>
      <c r="M745">
        <v>1</v>
      </c>
      <c r="N745">
        <v>0</v>
      </c>
      <c r="O745" s="1" t="s">
        <v>134</v>
      </c>
      <c r="P745">
        <v>1</v>
      </c>
      <c r="Q745">
        <v>1</v>
      </c>
      <c r="R745">
        <v>2</v>
      </c>
      <c r="S745">
        <v>14</v>
      </c>
      <c r="T745">
        <v>0</v>
      </c>
      <c r="U745">
        <v>1</v>
      </c>
      <c r="V745">
        <v>7.62</v>
      </c>
    </row>
    <row r="746" spans="1:22">
      <c r="A746" s="1" t="s">
        <v>792</v>
      </c>
      <c r="B746" s="1" t="s">
        <v>45</v>
      </c>
      <c r="C746" s="2">
        <v>46291</v>
      </c>
      <c r="D746" s="3">
        <v>0.9375</v>
      </c>
      <c r="E746">
        <v>114</v>
      </c>
      <c r="F746">
        <v>113</v>
      </c>
      <c r="G746">
        <v>5</v>
      </c>
      <c r="H746" s="1" t="s">
        <v>46</v>
      </c>
      <c r="I746">
        <v>18.5</v>
      </c>
      <c r="J746">
        <v>22</v>
      </c>
      <c r="K746" s="1" t="s">
        <v>47</v>
      </c>
      <c r="L746" s="1" t="s">
        <v>32</v>
      </c>
      <c r="M746">
        <v>1</v>
      </c>
      <c r="N746">
        <v>0</v>
      </c>
      <c r="O746" s="1" t="s">
        <v>27</v>
      </c>
      <c r="P746">
        <v>1</v>
      </c>
      <c r="Q746">
        <v>1</v>
      </c>
      <c r="R746">
        <v>0</v>
      </c>
      <c r="S746">
        <v>22</v>
      </c>
      <c r="T746">
        <v>0</v>
      </c>
      <c r="U746">
        <v>0</v>
      </c>
      <c r="V746">
        <v>6.16</v>
      </c>
    </row>
    <row r="747" spans="1:22">
      <c r="A747" s="1" t="s">
        <v>793</v>
      </c>
      <c r="B747" s="1" t="s">
        <v>29</v>
      </c>
      <c r="C747" s="2">
        <v>46270</v>
      </c>
      <c r="D747" s="3">
        <v>0.54166666666666663</v>
      </c>
      <c r="E747">
        <v>56</v>
      </c>
      <c r="F747">
        <v>62</v>
      </c>
      <c r="G747">
        <v>3</v>
      </c>
      <c r="H747" s="1" t="s">
        <v>30</v>
      </c>
      <c r="I747">
        <v>32</v>
      </c>
      <c r="J747">
        <v>14</v>
      </c>
      <c r="K747" s="1" t="s">
        <v>31</v>
      </c>
      <c r="L747" s="1" t="s">
        <v>32</v>
      </c>
      <c r="M747">
        <v>1</v>
      </c>
      <c r="N747">
        <v>1</v>
      </c>
      <c r="O747" s="1" t="s">
        <v>27</v>
      </c>
      <c r="P747">
        <v>1</v>
      </c>
      <c r="Q747">
        <v>1</v>
      </c>
      <c r="R747">
        <v>5</v>
      </c>
      <c r="S747">
        <v>13</v>
      </c>
      <c r="T747">
        <v>0</v>
      </c>
      <c r="U747">
        <v>0</v>
      </c>
      <c r="V747">
        <v>1.75</v>
      </c>
    </row>
    <row r="748" spans="1:22">
      <c r="A748" s="1" t="s">
        <v>794</v>
      </c>
      <c r="B748" s="1" t="s">
        <v>45</v>
      </c>
      <c r="C748" s="2">
        <v>46294</v>
      </c>
      <c r="D748" s="3">
        <v>0.48958333333333331</v>
      </c>
      <c r="E748">
        <v>32</v>
      </c>
      <c r="F748">
        <v>33</v>
      </c>
      <c r="G748">
        <v>3</v>
      </c>
      <c r="H748" s="1" t="s">
        <v>46</v>
      </c>
      <c r="I748">
        <v>18.5</v>
      </c>
      <c r="J748">
        <v>22</v>
      </c>
      <c r="K748" s="1" t="s">
        <v>47</v>
      </c>
      <c r="L748" s="1" t="s">
        <v>26</v>
      </c>
      <c r="M748">
        <v>0</v>
      </c>
      <c r="N748">
        <v>0</v>
      </c>
      <c r="O748" s="1" t="s">
        <v>27</v>
      </c>
      <c r="P748">
        <v>1</v>
      </c>
      <c r="Q748">
        <v>1</v>
      </c>
      <c r="R748">
        <v>9</v>
      </c>
      <c r="S748">
        <v>11</v>
      </c>
      <c r="T748">
        <v>0</v>
      </c>
      <c r="U748">
        <v>0</v>
      </c>
      <c r="V748">
        <v>1.73</v>
      </c>
    </row>
    <row r="749" spans="1:22">
      <c r="A749" s="1" t="s">
        <v>795</v>
      </c>
      <c r="B749" s="1" t="s">
        <v>34</v>
      </c>
      <c r="C749" s="2">
        <v>46270</v>
      </c>
      <c r="D749" s="3">
        <v>0.32291666666666669</v>
      </c>
      <c r="E749">
        <v>132</v>
      </c>
      <c r="F749">
        <v>129</v>
      </c>
      <c r="G749">
        <v>4</v>
      </c>
      <c r="H749" s="1" t="s">
        <v>35</v>
      </c>
      <c r="I749">
        <v>12.2</v>
      </c>
      <c r="J749">
        <v>18</v>
      </c>
      <c r="K749" s="1" t="s">
        <v>36</v>
      </c>
      <c r="L749" s="1" t="s">
        <v>32</v>
      </c>
      <c r="M749">
        <v>1</v>
      </c>
      <c r="N749">
        <v>1</v>
      </c>
      <c r="O749" s="1" t="s">
        <v>27</v>
      </c>
      <c r="P749">
        <v>1</v>
      </c>
      <c r="Q749">
        <v>1</v>
      </c>
      <c r="R749">
        <v>8</v>
      </c>
      <c r="S749">
        <v>7</v>
      </c>
      <c r="T749">
        <v>0</v>
      </c>
      <c r="U749">
        <v>0</v>
      </c>
      <c r="V749">
        <v>10.82</v>
      </c>
    </row>
    <row r="750" spans="1:22">
      <c r="A750" s="1" t="s">
        <v>796</v>
      </c>
      <c r="B750" s="1" t="s">
        <v>59</v>
      </c>
      <c r="C750" s="2">
        <v>46276</v>
      </c>
      <c r="D750" s="3">
        <v>0.4375</v>
      </c>
      <c r="E750">
        <v>157</v>
      </c>
      <c r="F750">
        <v>157</v>
      </c>
      <c r="G750">
        <v>5</v>
      </c>
      <c r="H750" s="1" t="s">
        <v>60</v>
      </c>
      <c r="I750">
        <v>24.8</v>
      </c>
      <c r="J750">
        <v>28</v>
      </c>
      <c r="K750" s="1" t="s">
        <v>61</v>
      </c>
      <c r="L750" s="1" t="s">
        <v>49</v>
      </c>
      <c r="M750">
        <v>0</v>
      </c>
      <c r="N750">
        <v>0</v>
      </c>
      <c r="O750" s="1" t="s">
        <v>27</v>
      </c>
      <c r="P750">
        <v>1</v>
      </c>
      <c r="Q750">
        <v>1</v>
      </c>
      <c r="R750">
        <v>4</v>
      </c>
      <c r="S750">
        <v>10</v>
      </c>
      <c r="T750">
        <v>1</v>
      </c>
      <c r="U750">
        <v>0</v>
      </c>
      <c r="V750">
        <v>6.33</v>
      </c>
    </row>
    <row r="751" spans="1:22">
      <c r="A751" s="1" t="s">
        <v>797</v>
      </c>
      <c r="B751" s="1" t="s">
        <v>23</v>
      </c>
      <c r="C751" s="2">
        <v>46293</v>
      </c>
      <c r="D751" s="3">
        <v>0.25</v>
      </c>
      <c r="E751">
        <v>127</v>
      </c>
      <c r="F751">
        <v>120</v>
      </c>
      <c r="G751">
        <v>4</v>
      </c>
      <c r="H751" s="1" t="s">
        <v>24</v>
      </c>
      <c r="I751">
        <v>15</v>
      </c>
      <c r="J751">
        <v>16</v>
      </c>
      <c r="K751" s="1" t="s">
        <v>25</v>
      </c>
      <c r="L751" s="1" t="s">
        <v>65</v>
      </c>
      <c r="M751">
        <v>0</v>
      </c>
      <c r="N751">
        <v>0</v>
      </c>
      <c r="O751" s="1" t="s">
        <v>27</v>
      </c>
      <c r="P751">
        <v>1</v>
      </c>
      <c r="Q751">
        <v>1</v>
      </c>
      <c r="R751">
        <v>4</v>
      </c>
      <c r="S751">
        <v>6</v>
      </c>
      <c r="T751">
        <v>0</v>
      </c>
      <c r="U751">
        <v>0</v>
      </c>
      <c r="V751">
        <v>8.4700000000000006</v>
      </c>
    </row>
    <row r="752" spans="1:22">
      <c r="A752" s="1" t="s">
        <v>798</v>
      </c>
      <c r="B752" s="1" t="s">
        <v>59</v>
      </c>
      <c r="C752" s="2">
        <v>46271</v>
      </c>
      <c r="D752" s="3">
        <v>0.4375</v>
      </c>
      <c r="E752">
        <v>72</v>
      </c>
      <c r="F752">
        <v>72</v>
      </c>
      <c r="G752">
        <v>3</v>
      </c>
      <c r="H752" s="1" t="s">
        <v>60</v>
      </c>
      <c r="I752">
        <v>24.8</v>
      </c>
      <c r="J752">
        <v>28</v>
      </c>
      <c r="K752" s="1" t="s">
        <v>61</v>
      </c>
      <c r="L752" s="1" t="s">
        <v>38</v>
      </c>
      <c r="M752">
        <v>1</v>
      </c>
      <c r="N752">
        <v>0</v>
      </c>
      <c r="O752" s="1" t="s">
        <v>27</v>
      </c>
      <c r="P752">
        <v>1</v>
      </c>
      <c r="Q752">
        <v>1</v>
      </c>
      <c r="R752">
        <v>1</v>
      </c>
      <c r="S752">
        <v>10</v>
      </c>
      <c r="T752">
        <v>1</v>
      </c>
      <c r="U752">
        <v>0</v>
      </c>
      <c r="V752">
        <v>2.9</v>
      </c>
    </row>
    <row r="753" spans="1:22">
      <c r="A753" s="1" t="s">
        <v>799</v>
      </c>
      <c r="B753" s="1" t="s">
        <v>34</v>
      </c>
      <c r="C753" s="2">
        <v>46272</v>
      </c>
      <c r="D753" s="3">
        <v>0.84375</v>
      </c>
      <c r="E753">
        <v>127</v>
      </c>
      <c r="F753">
        <v>118</v>
      </c>
      <c r="G753">
        <v>4</v>
      </c>
      <c r="H753" s="1" t="s">
        <v>35</v>
      </c>
      <c r="I753">
        <v>12.2</v>
      </c>
      <c r="J753">
        <v>18</v>
      </c>
      <c r="K753" s="1" t="s">
        <v>36</v>
      </c>
      <c r="L753" s="1" t="s">
        <v>65</v>
      </c>
      <c r="M753">
        <v>0</v>
      </c>
      <c r="N753">
        <v>0</v>
      </c>
      <c r="O753" s="1" t="s">
        <v>27</v>
      </c>
      <c r="P753">
        <v>1</v>
      </c>
      <c r="Q753">
        <v>1</v>
      </c>
      <c r="R753">
        <v>7</v>
      </c>
      <c r="S753">
        <v>20</v>
      </c>
      <c r="T753">
        <v>0</v>
      </c>
      <c r="U753">
        <v>0</v>
      </c>
      <c r="V753">
        <v>10.41</v>
      </c>
    </row>
    <row r="754" spans="1:22">
      <c r="A754" s="1" t="s">
        <v>800</v>
      </c>
      <c r="B754" s="1" t="s">
        <v>45</v>
      </c>
      <c r="C754" s="2">
        <v>46289</v>
      </c>
      <c r="D754" s="3">
        <v>0.51041666666666663</v>
      </c>
      <c r="E754">
        <v>80</v>
      </c>
      <c r="F754">
        <v>74</v>
      </c>
      <c r="G754">
        <v>3</v>
      </c>
      <c r="H754" s="1" t="s">
        <v>46</v>
      </c>
      <c r="I754">
        <v>18.5</v>
      </c>
      <c r="J754">
        <v>22</v>
      </c>
      <c r="K754" s="1" t="s">
        <v>47</v>
      </c>
      <c r="L754" s="1" t="s">
        <v>56</v>
      </c>
      <c r="M754">
        <v>0</v>
      </c>
      <c r="N754">
        <v>0</v>
      </c>
      <c r="O754" s="1" t="s">
        <v>27</v>
      </c>
      <c r="P754">
        <v>1</v>
      </c>
      <c r="Q754">
        <v>1</v>
      </c>
      <c r="R754">
        <v>12</v>
      </c>
      <c r="S754">
        <v>12</v>
      </c>
      <c r="T754">
        <v>0</v>
      </c>
      <c r="U754">
        <v>0</v>
      </c>
      <c r="V754">
        <v>4.32</v>
      </c>
    </row>
    <row r="755" spans="1:22">
      <c r="A755" s="1" t="s">
        <v>801</v>
      </c>
      <c r="B755" s="1" t="s">
        <v>45</v>
      </c>
      <c r="C755" s="2">
        <v>46279</v>
      </c>
      <c r="D755" s="3">
        <v>0.875</v>
      </c>
      <c r="E755">
        <v>150</v>
      </c>
      <c r="F755">
        <v>143</v>
      </c>
      <c r="G755">
        <v>7</v>
      </c>
      <c r="H755" s="1" t="s">
        <v>46</v>
      </c>
      <c r="I755">
        <v>18.5</v>
      </c>
      <c r="J755">
        <v>22</v>
      </c>
      <c r="K755" s="1" t="s">
        <v>47</v>
      </c>
      <c r="L755" s="1" t="s">
        <v>65</v>
      </c>
      <c r="M755">
        <v>0</v>
      </c>
      <c r="N755">
        <v>0</v>
      </c>
      <c r="O755" s="1" t="s">
        <v>27</v>
      </c>
      <c r="P755">
        <v>1</v>
      </c>
      <c r="Q755">
        <v>1</v>
      </c>
      <c r="R755">
        <v>14</v>
      </c>
      <c r="S755">
        <v>21</v>
      </c>
      <c r="T755">
        <v>0</v>
      </c>
      <c r="U755">
        <v>0</v>
      </c>
      <c r="V755">
        <v>8.11</v>
      </c>
    </row>
    <row r="756" spans="1:22">
      <c r="A756" s="1" t="s">
        <v>802</v>
      </c>
      <c r="B756" s="1" t="s">
        <v>45</v>
      </c>
      <c r="C756" s="2">
        <v>46289</v>
      </c>
      <c r="D756" s="3">
        <v>0.6875</v>
      </c>
      <c r="E756">
        <v>44</v>
      </c>
      <c r="F756">
        <v>45</v>
      </c>
      <c r="G756">
        <v>5</v>
      </c>
      <c r="H756" s="1" t="s">
        <v>46</v>
      </c>
      <c r="I756">
        <v>18.5</v>
      </c>
      <c r="J756">
        <v>22</v>
      </c>
      <c r="K756" s="1" t="s">
        <v>47</v>
      </c>
      <c r="L756" s="1" t="s">
        <v>56</v>
      </c>
      <c r="M756">
        <v>0</v>
      </c>
      <c r="N756">
        <v>0</v>
      </c>
      <c r="O756" s="1" t="s">
        <v>27</v>
      </c>
      <c r="P756">
        <v>1</v>
      </c>
      <c r="Q756">
        <v>1</v>
      </c>
      <c r="R756">
        <v>3</v>
      </c>
      <c r="S756">
        <v>16</v>
      </c>
      <c r="T756">
        <v>0</v>
      </c>
      <c r="U756">
        <v>0</v>
      </c>
      <c r="V756">
        <v>2.38</v>
      </c>
    </row>
    <row r="757" spans="1:22">
      <c r="A757" s="1" t="s">
        <v>803</v>
      </c>
      <c r="B757" s="1" t="s">
        <v>29</v>
      </c>
      <c r="C757" s="2">
        <v>46276</v>
      </c>
      <c r="D757" s="3">
        <v>0.625</v>
      </c>
      <c r="E757">
        <v>55</v>
      </c>
      <c r="F757">
        <v>59</v>
      </c>
      <c r="G757">
        <v>3</v>
      </c>
      <c r="H757" s="1" t="s">
        <v>30</v>
      </c>
      <c r="I757">
        <v>32</v>
      </c>
      <c r="J757">
        <v>14</v>
      </c>
      <c r="K757" s="1" t="s">
        <v>31</v>
      </c>
      <c r="L757" s="1" t="s">
        <v>49</v>
      </c>
      <c r="M757">
        <v>0</v>
      </c>
      <c r="N757">
        <v>0</v>
      </c>
      <c r="O757" s="1" t="s">
        <v>27</v>
      </c>
      <c r="P757">
        <v>1</v>
      </c>
      <c r="Q757">
        <v>1</v>
      </c>
      <c r="R757">
        <v>7</v>
      </c>
      <c r="S757">
        <v>15</v>
      </c>
      <c r="T757">
        <v>0</v>
      </c>
      <c r="U757">
        <v>0</v>
      </c>
      <c r="V757">
        <v>1.72</v>
      </c>
    </row>
    <row r="758" spans="1:22">
      <c r="A758" s="1" t="s">
        <v>804</v>
      </c>
      <c r="B758" s="1" t="s">
        <v>45</v>
      </c>
      <c r="C758" s="2">
        <v>46295</v>
      </c>
      <c r="D758" s="3">
        <v>0.72916666666666663</v>
      </c>
      <c r="E758">
        <v>111</v>
      </c>
      <c r="F758">
        <v>103</v>
      </c>
      <c r="G758">
        <v>7</v>
      </c>
      <c r="H758" s="1" t="s">
        <v>46</v>
      </c>
      <c r="I758">
        <v>18.5</v>
      </c>
      <c r="J758">
        <v>22</v>
      </c>
      <c r="K758" s="1" t="s">
        <v>47</v>
      </c>
      <c r="L758" s="1" t="s">
        <v>69</v>
      </c>
      <c r="M758">
        <v>0</v>
      </c>
      <c r="N758">
        <v>0</v>
      </c>
      <c r="O758" s="1" t="s">
        <v>27</v>
      </c>
      <c r="P758">
        <v>1</v>
      </c>
      <c r="Q758">
        <v>1</v>
      </c>
      <c r="R758">
        <v>9</v>
      </c>
      <c r="S758">
        <v>17</v>
      </c>
      <c r="T758">
        <v>1</v>
      </c>
      <c r="U758">
        <v>0</v>
      </c>
      <c r="V758">
        <v>6</v>
      </c>
    </row>
    <row r="759" spans="1:22">
      <c r="A759" s="1" t="s">
        <v>805</v>
      </c>
      <c r="B759" s="1" t="s">
        <v>45</v>
      </c>
      <c r="C759" s="2">
        <v>46278</v>
      </c>
      <c r="D759" s="3">
        <v>0.375</v>
      </c>
      <c r="E759">
        <v>51</v>
      </c>
      <c r="F759">
        <v>51</v>
      </c>
      <c r="G759">
        <v>4</v>
      </c>
      <c r="H759" s="1" t="s">
        <v>46</v>
      </c>
      <c r="I759">
        <v>18.5</v>
      </c>
      <c r="J759">
        <v>22</v>
      </c>
      <c r="K759" s="1" t="s">
        <v>47</v>
      </c>
      <c r="L759" s="1" t="s">
        <v>38</v>
      </c>
      <c r="M759">
        <v>1</v>
      </c>
      <c r="N759">
        <v>0</v>
      </c>
      <c r="O759" s="1" t="s">
        <v>27</v>
      </c>
      <c r="P759">
        <v>1</v>
      </c>
      <c r="Q759">
        <v>1</v>
      </c>
      <c r="R759">
        <v>4</v>
      </c>
      <c r="S759">
        <v>9</v>
      </c>
      <c r="T759">
        <v>1</v>
      </c>
      <c r="U759">
        <v>0</v>
      </c>
      <c r="V759">
        <v>2.76</v>
      </c>
    </row>
    <row r="760" spans="1:22">
      <c r="A760" s="1" t="s">
        <v>806</v>
      </c>
      <c r="B760" s="1" t="s">
        <v>34</v>
      </c>
      <c r="C760" s="2">
        <v>46267</v>
      </c>
      <c r="D760" s="3">
        <v>0.89583333333333337</v>
      </c>
      <c r="E760">
        <v>80</v>
      </c>
      <c r="F760">
        <v>73</v>
      </c>
      <c r="G760">
        <v>4</v>
      </c>
      <c r="H760" s="1" t="s">
        <v>35</v>
      </c>
      <c r="I760">
        <v>12.2</v>
      </c>
      <c r="J760">
        <v>18</v>
      </c>
      <c r="K760" s="1" t="s">
        <v>36</v>
      </c>
      <c r="L760" s="1" t="s">
        <v>69</v>
      </c>
      <c r="M760">
        <v>0</v>
      </c>
      <c r="N760">
        <v>0</v>
      </c>
      <c r="O760" s="1" t="s">
        <v>27</v>
      </c>
      <c r="P760">
        <v>1</v>
      </c>
      <c r="Q760">
        <v>1</v>
      </c>
      <c r="R760">
        <v>0</v>
      </c>
      <c r="S760">
        <v>21</v>
      </c>
      <c r="T760">
        <v>0</v>
      </c>
      <c r="U760">
        <v>0</v>
      </c>
      <c r="V760">
        <v>6.56</v>
      </c>
    </row>
    <row r="761" spans="1:22">
      <c r="A761" s="1" t="s">
        <v>807</v>
      </c>
      <c r="B761" s="1" t="s">
        <v>34</v>
      </c>
      <c r="C761" s="2">
        <v>46290</v>
      </c>
      <c r="D761" s="3">
        <v>0.44791666666666669</v>
      </c>
      <c r="E761">
        <v>87</v>
      </c>
      <c r="F761">
        <v>83</v>
      </c>
      <c r="G761">
        <v>3</v>
      </c>
      <c r="H761" s="1" t="s">
        <v>35</v>
      </c>
      <c r="I761">
        <v>12.2</v>
      </c>
      <c r="J761">
        <v>18</v>
      </c>
      <c r="K761" s="1" t="s">
        <v>36</v>
      </c>
      <c r="L761" s="1" t="s">
        <v>49</v>
      </c>
      <c r="M761">
        <v>0</v>
      </c>
      <c r="N761">
        <v>0</v>
      </c>
      <c r="O761" s="1" t="s">
        <v>27</v>
      </c>
      <c r="P761">
        <v>1</v>
      </c>
      <c r="Q761">
        <v>1</v>
      </c>
      <c r="R761">
        <v>0</v>
      </c>
      <c r="S761">
        <v>10</v>
      </c>
      <c r="T761">
        <v>1</v>
      </c>
      <c r="U761">
        <v>0</v>
      </c>
      <c r="V761">
        <v>7.13</v>
      </c>
    </row>
    <row r="762" spans="1:22">
      <c r="A762" s="1" t="s">
        <v>808</v>
      </c>
      <c r="B762" s="1" t="s">
        <v>34</v>
      </c>
      <c r="C762" s="2">
        <v>46272</v>
      </c>
      <c r="D762" s="3">
        <v>0.63541666666666663</v>
      </c>
      <c r="E762">
        <v>113</v>
      </c>
      <c r="F762">
        <v>102</v>
      </c>
      <c r="G762">
        <v>6</v>
      </c>
      <c r="H762" s="1" t="s">
        <v>35</v>
      </c>
      <c r="I762">
        <v>12.2</v>
      </c>
      <c r="J762">
        <v>18</v>
      </c>
      <c r="K762" s="1" t="s">
        <v>36</v>
      </c>
      <c r="L762" s="1" t="s">
        <v>65</v>
      </c>
      <c r="M762">
        <v>0</v>
      </c>
      <c r="N762">
        <v>0</v>
      </c>
      <c r="O762" s="1" t="s">
        <v>27</v>
      </c>
      <c r="P762">
        <v>1</v>
      </c>
      <c r="Q762">
        <v>1</v>
      </c>
      <c r="R762">
        <v>11</v>
      </c>
      <c r="S762">
        <v>15</v>
      </c>
      <c r="T762">
        <v>0</v>
      </c>
      <c r="U762">
        <v>0</v>
      </c>
      <c r="V762">
        <v>9.26</v>
      </c>
    </row>
    <row r="763" spans="1:22">
      <c r="A763" s="1" t="s">
        <v>809</v>
      </c>
      <c r="B763" s="1" t="s">
        <v>59</v>
      </c>
      <c r="C763" s="2">
        <v>46285</v>
      </c>
      <c r="D763" s="3">
        <v>0.35416666666666669</v>
      </c>
      <c r="E763">
        <v>30</v>
      </c>
      <c r="F763">
        <v>31</v>
      </c>
      <c r="G763">
        <v>3</v>
      </c>
      <c r="H763" s="1" t="s">
        <v>60</v>
      </c>
      <c r="I763">
        <v>24.8</v>
      </c>
      <c r="J763">
        <v>28</v>
      </c>
      <c r="K763" s="1" t="s">
        <v>61</v>
      </c>
      <c r="L763" s="1" t="s">
        <v>38</v>
      </c>
      <c r="M763">
        <v>1</v>
      </c>
      <c r="N763">
        <v>0</v>
      </c>
      <c r="O763" s="1" t="s">
        <v>52</v>
      </c>
      <c r="P763">
        <v>1</v>
      </c>
      <c r="Q763">
        <v>1</v>
      </c>
      <c r="R763">
        <v>8</v>
      </c>
      <c r="S763">
        <v>8</v>
      </c>
      <c r="T763">
        <v>1</v>
      </c>
      <c r="U763">
        <v>1</v>
      </c>
      <c r="V763">
        <v>1.21</v>
      </c>
    </row>
    <row r="764" spans="1:22">
      <c r="A764" s="1" t="s">
        <v>810</v>
      </c>
      <c r="B764" s="1" t="s">
        <v>29</v>
      </c>
      <c r="C764" s="2">
        <v>46269</v>
      </c>
      <c r="D764" s="3">
        <v>0.72916666666666663</v>
      </c>
      <c r="E764">
        <v>88</v>
      </c>
      <c r="F764">
        <v>89</v>
      </c>
      <c r="G764">
        <v>6</v>
      </c>
      <c r="H764" s="1" t="s">
        <v>30</v>
      </c>
      <c r="I764">
        <v>32</v>
      </c>
      <c r="J764">
        <v>14</v>
      </c>
      <c r="K764" s="1" t="s">
        <v>31</v>
      </c>
      <c r="L764" s="1" t="s">
        <v>49</v>
      </c>
      <c r="M764">
        <v>0</v>
      </c>
      <c r="N764">
        <v>0</v>
      </c>
      <c r="O764" s="1" t="s">
        <v>27</v>
      </c>
      <c r="P764">
        <v>1</v>
      </c>
      <c r="Q764">
        <v>1</v>
      </c>
      <c r="R764">
        <v>6</v>
      </c>
      <c r="S764">
        <v>17</v>
      </c>
      <c r="T764">
        <v>1</v>
      </c>
      <c r="U764">
        <v>0</v>
      </c>
      <c r="V764">
        <v>2.75</v>
      </c>
    </row>
    <row r="765" spans="1:22">
      <c r="A765" s="1" t="s">
        <v>811</v>
      </c>
      <c r="B765" s="1" t="s">
        <v>34</v>
      </c>
      <c r="C765" s="2">
        <v>46292</v>
      </c>
      <c r="D765" s="3">
        <v>0.54166666666666663</v>
      </c>
      <c r="E765">
        <v>99</v>
      </c>
      <c r="F765">
        <v>98</v>
      </c>
      <c r="G765">
        <v>5</v>
      </c>
      <c r="H765" s="1" t="s">
        <v>35</v>
      </c>
      <c r="I765">
        <v>12.2</v>
      </c>
      <c r="J765">
        <v>18</v>
      </c>
      <c r="K765" s="1" t="s">
        <v>36</v>
      </c>
      <c r="L765" s="1" t="s">
        <v>38</v>
      </c>
      <c r="M765">
        <v>1</v>
      </c>
      <c r="N765">
        <v>0</v>
      </c>
      <c r="O765" s="1" t="s">
        <v>134</v>
      </c>
      <c r="P765">
        <v>1</v>
      </c>
      <c r="Q765">
        <v>1</v>
      </c>
      <c r="R765">
        <v>2</v>
      </c>
      <c r="S765">
        <v>13</v>
      </c>
      <c r="T765">
        <v>0</v>
      </c>
      <c r="U765">
        <v>1</v>
      </c>
      <c r="V765">
        <v>8.11</v>
      </c>
    </row>
    <row r="766" spans="1:22">
      <c r="A766" s="1" t="s">
        <v>812</v>
      </c>
      <c r="B766" s="1" t="s">
        <v>45</v>
      </c>
      <c r="C766" s="2">
        <v>46273</v>
      </c>
      <c r="D766" s="3">
        <v>0.42708333333333331</v>
      </c>
      <c r="E766">
        <v>114</v>
      </c>
      <c r="F766">
        <v>106</v>
      </c>
      <c r="G766">
        <v>5</v>
      </c>
      <c r="H766" s="1" t="s">
        <v>46</v>
      </c>
      <c r="I766">
        <v>18.5</v>
      </c>
      <c r="J766">
        <v>22</v>
      </c>
      <c r="K766" s="1" t="s">
        <v>47</v>
      </c>
      <c r="L766" s="1" t="s">
        <v>26</v>
      </c>
      <c r="M766">
        <v>0</v>
      </c>
      <c r="N766">
        <v>0</v>
      </c>
      <c r="O766" s="1" t="s">
        <v>27</v>
      </c>
      <c r="P766">
        <v>1</v>
      </c>
      <c r="Q766">
        <v>1</v>
      </c>
      <c r="R766">
        <v>4</v>
      </c>
      <c r="S766">
        <v>10</v>
      </c>
      <c r="T766">
        <v>1</v>
      </c>
      <c r="U766">
        <v>0</v>
      </c>
      <c r="V766">
        <v>6.16</v>
      </c>
    </row>
    <row r="767" spans="1:22">
      <c r="A767" s="1" t="s">
        <v>813</v>
      </c>
      <c r="B767" s="1" t="s">
        <v>59</v>
      </c>
      <c r="C767" s="2">
        <v>46285</v>
      </c>
      <c r="D767" s="3">
        <v>0.67708333333333337</v>
      </c>
      <c r="E767">
        <v>100</v>
      </c>
      <c r="F767">
        <v>90</v>
      </c>
      <c r="G767">
        <v>4</v>
      </c>
      <c r="H767" s="1" t="s">
        <v>60</v>
      </c>
      <c r="I767">
        <v>24.8</v>
      </c>
      <c r="J767">
        <v>28</v>
      </c>
      <c r="K767" s="1" t="s">
        <v>61</v>
      </c>
      <c r="L767" s="1" t="s">
        <v>38</v>
      </c>
      <c r="M767">
        <v>1</v>
      </c>
      <c r="N767">
        <v>0</v>
      </c>
      <c r="O767" s="1" t="s">
        <v>52</v>
      </c>
      <c r="P767">
        <v>1</v>
      </c>
      <c r="Q767">
        <v>1</v>
      </c>
      <c r="R767">
        <v>13</v>
      </c>
      <c r="S767">
        <v>16</v>
      </c>
      <c r="T767">
        <v>0</v>
      </c>
      <c r="U767">
        <v>1</v>
      </c>
      <c r="V767">
        <v>4.03</v>
      </c>
    </row>
    <row r="768" spans="1:22">
      <c r="A768" s="1" t="s">
        <v>814</v>
      </c>
      <c r="B768" s="1" t="s">
        <v>29</v>
      </c>
      <c r="C768" s="2">
        <v>46294</v>
      </c>
      <c r="D768" s="3">
        <v>0.3125</v>
      </c>
      <c r="E768">
        <v>139</v>
      </c>
      <c r="F768">
        <v>141</v>
      </c>
      <c r="G768">
        <v>5</v>
      </c>
      <c r="H768" s="1" t="s">
        <v>30</v>
      </c>
      <c r="I768">
        <v>32</v>
      </c>
      <c r="J768">
        <v>14</v>
      </c>
      <c r="K768" s="1" t="s">
        <v>31</v>
      </c>
      <c r="L768" s="1" t="s">
        <v>26</v>
      </c>
      <c r="M768">
        <v>0</v>
      </c>
      <c r="N768">
        <v>0</v>
      </c>
      <c r="O768" s="1" t="s">
        <v>27</v>
      </c>
      <c r="P768">
        <v>1</v>
      </c>
      <c r="Q768">
        <v>1</v>
      </c>
      <c r="R768">
        <v>4</v>
      </c>
      <c r="S768">
        <v>7</v>
      </c>
      <c r="T768">
        <v>0</v>
      </c>
      <c r="U768">
        <v>0</v>
      </c>
      <c r="V768">
        <v>4.34</v>
      </c>
    </row>
    <row r="769" spans="1:22">
      <c r="A769" s="1" t="s">
        <v>815</v>
      </c>
      <c r="B769" s="1" t="s">
        <v>45</v>
      </c>
      <c r="C769" s="2">
        <v>46287</v>
      </c>
      <c r="D769" s="3">
        <v>0.6875</v>
      </c>
      <c r="E769">
        <v>112</v>
      </c>
      <c r="F769">
        <v>103</v>
      </c>
      <c r="G769">
        <v>4</v>
      </c>
      <c r="H769" s="1" t="s">
        <v>46</v>
      </c>
      <c r="I769">
        <v>18.5</v>
      </c>
      <c r="J769">
        <v>22</v>
      </c>
      <c r="K769" s="1" t="s">
        <v>47</v>
      </c>
      <c r="L769" s="1" t="s">
        <v>26</v>
      </c>
      <c r="M769">
        <v>0</v>
      </c>
      <c r="N769">
        <v>0</v>
      </c>
      <c r="O769" s="1" t="s">
        <v>27</v>
      </c>
      <c r="P769">
        <v>1</v>
      </c>
      <c r="Q769">
        <v>1</v>
      </c>
      <c r="R769">
        <v>4</v>
      </c>
      <c r="S769">
        <v>16</v>
      </c>
      <c r="T769">
        <v>0</v>
      </c>
      <c r="U769">
        <v>0</v>
      </c>
      <c r="V769">
        <v>6.05</v>
      </c>
    </row>
    <row r="770" spans="1:22">
      <c r="A770" s="1" t="s">
        <v>816</v>
      </c>
      <c r="B770" s="1" t="s">
        <v>23</v>
      </c>
      <c r="C770" s="2">
        <v>46286</v>
      </c>
      <c r="D770" s="3">
        <v>0.5625</v>
      </c>
      <c r="E770">
        <v>47</v>
      </c>
      <c r="F770">
        <v>50</v>
      </c>
      <c r="G770">
        <v>5</v>
      </c>
      <c r="H770" s="1" t="s">
        <v>24</v>
      </c>
      <c r="I770">
        <v>15</v>
      </c>
      <c r="J770">
        <v>16</v>
      </c>
      <c r="K770" s="1" t="s">
        <v>25</v>
      </c>
      <c r="L770" s="1" t="s">
        <v>65</v>
      </c>
      <c r="M770">
        <v>0</v>
      </c>
      <c r="N770">
        <v>0</v>
      </c>
      <c r="O770" s="1" t="s">
        <v>27</v>
      </c>
      <c r="P770">
        <v>1</v>
      </c>
      <c r="Q770">
        <v>1</v>
      </c>
      <c r="R770">
        <v>9</v>
      </c>
      <c r="S770">
        <v>13</v>
      </c>
      <c r="T770">
        <v>0</v>
      </c>
      <c r="U770">
        <v>0</v>
      </c>
      <c r="V770">
        <v>3.13</v>
      </c>
    </row>
    <row r="771" spans="1:22">
      <c r="A771" s="1" t="s">
        <v>817</v>
      </c>
      <c r="B771" s="1" t="s">
        <v>23</v>
      </c>
      <c r="C771" s="2">
        <v>46284</v>
      </c>
      <c r="D771" s="3">
        <v>0.52083333333333337</v>
      </c>
      <c r="E771">
        <v>85</v>
      </c>
      <c r="F771">
        <v>88</v>
      </c>
      <c r="G771">
        <v>3</v>
      </c>
      <c r="H771" s="1" t="s">
        <v>24</v>
      </c>
      <c r="I771">
        <v>15</v>
      </c>
      <c r="J771">
        <v>16</v>
      </c>
      <c r="K771" s="1" t="s">
        <v>25</v>
      </c>
      <c r="L771" s="1" t="s">
        <v>32</v>
      </c>
      <c r="M771">
        <v>1</v>
      </c>
      <c r="N771">
        <v>1</v>
      </c>
      <c r="O771" s="1" t="s">
        <v>27</v>
      </c>
      <c r="P771">
        <v>1</v>
      </c>
      <c r="Q771">
        <v>1</v>
      </c>
      <c r="R771">
        <v>0</v>
      </c>
      <c r="S771">
        <v>12</v>
      </c>
      <c r="T771">
        <v>0</v>
      </c>
      <c r="U771">
        <v>0</v>
      </c>
      <c r="V771">
        <v>5.67</v>
      </c>
    </row>
    <row r="772" spans="1:22">
      <c r="A772" s="1" t="s">
        <v>818</v>
      </c>
      <c r="B772" s="1" t="s">
        <v>45</v>
      </c>
      <c r="C772" s="2">
        <v>46278</v>
      </c>
      <c r="D772" s="3">
        <v>0.86458333333333337</v>
      </c>
      <c r="E772">
        <v>174</v>
      </c>
      <c r="F772">
        <v>175</v>
      </c>
      <c r="G772">
        <v>6</v>
      </c>
      <c r="H772" s="1" t="s">
        <v>46</v>
      </c>
      <c r="I772">
        <v>18.5</v>
      </c>
      <c r="J772">
        <v>22</v>
      </c>
      <c r="K772" s="1" t="s">
        <v>47</v>
      </c>
      <c r="L772" s="1" t="s">
        <v>38</v>
      </c>
      <c r="M772">
        <v>1</v>
      </c>
      <c r="N772">
        <v>0</v>
      </c>
      <c r="O772" s="1" t="s">
        <v>27</v>
      </c>
      <c r="P772">
        <v>1</v>
      </c>
      <c r="Q772">
        <v>1</v>
      </c>
      <c r="R772">
        <v>7</v>
      </c>
      <c r="S772">
        <v>20</v>
      </c>
      <c r="T772">
        <v>0</v>
      </c>
      <c r="U772">
        <v>0</v>
      </c>
      <c r="V772">
        <v>9.41</v>
      </c>
    </row>
    <row r="773" spans="1:22">
      <c r="A773" s="1" t="s">
        <v>819</v>
      </c>
      <c r="B773" s="1" t="s">
        <v>34</v>
      </c>
      <c r="C773" s="2">
        <v>46279</v>
      </c>
      <c r="D773" s="3">
        <v>0.36458333333333331</v>
      </c>
      <c r="E773">
        <v>175</v>
      </c>
      <c r="F773">
        <v>169</v>
      </c>
      <c r="G773">
        <v>4</v>
      </c>
      <c r="H773" s="1" t="s">
        <v>35</v>
      </c>
      <c r="I773">
        <v>12.2</v>
      </c>
      <c r="J773">
        <v>18</v>
      </c>
      <c r="K773" s="1" t="s">
        <v>36</v>
      </c>
      <c r="L773" s="1" t="s">
        <v>65</v>
      </c>
      <c r="M773">
        <v>0</v>
      </c>
      <c r="N773">
        <v>0</v>
      </c>
      <c r="O773" s="1" t="s">
        <v>27</v>
      </c>
      <c r="P773">
        <v>1</v>
      </c>
      <c r="Q773">
        <v>1</v>
      </c>
      <c r="R773">
        <v>2</v>
      </c>
      <c r="S773">
        <v>8</v>
      </c>
      <c r="T773">
        <v>1</v>
      </c>
      <c r="U773">
        <v>0</v>
      </c>
      <c r="V773">
        <v>14.34</v>
      </c>
    </row>
    <row r="774" spans="1:22">
      <c r="A774" s="1" t="s">
        <v>820</v>
      </c>
      <c r="B774" s="1" t="s">
        <v>29</v>
      </c>
      <c r="C774" s="2">
        <v>46275</v>
      </c>
      <c r="D774" s="3">
        <v>0.23958333333333334</v>
      </c>
      <c r="E774">
        <v>67</v>
      </c>
      <c r="F774">
        <v>63</v>
      </c>
      <c r="G774">
        <v>3</v>
      </c>
      <c r="H774" s="1" t="s">
        <v>30</v>
      </c>
      <c r="I774">
        <v>32</v>
      </c>
      <c r="J774">
        <v>14</v>
      </c>
      <c r="K774" s="1" t="s">
        <v>31</v>
      </c>
      <c r="L774" s="1" t="s">
        <v>56</v>
      </c>
      <c r="M774">
        <v>0</v>
      </c>
      <c r="N774">
        <v>0</v>
      </c>
      <c r="O774" s="1" t="s">
        <v>27</v>
      </c>
      <c r="P774">
        <v>1</v>
      </c>
      <c r="Q774">
        <v>1</v>
      </c>
      <c r="R774">
        <v>11</v>
      </c>
      <c r="S774">
        <v>5</v>
      </c>
      <c r="T774">
        <v>0</v>
      </c>
      <c r="U774">
        <v>0</v>
      </c>
      <c r="V774">
        <v>2.09</v>
      </c>
    </row>
    <row r="775" spans="1:22">
      <c r="A775" s="1" t="s">
        <v>821</v>
      </c>
      <c r="B775" s="1" t="s">
        <v>29</v>
      </c>
      <c r="C775" s="2">
        <v>46276</v>
      </c>
      <c r="D775" s="3">
        <v>0.46875</v>
      </c>
      <c r="E775">
        <v>68</v>
      </c>
      <c r="F775">
        <v>73</v>
      </c>
      <c r="G775">
        <v>5</v>
      </c>
      <c r="H775" s="1" t="s">
        <v>30</v>
      </c>
      <c r="I775">
        <v>32</v>
      </c>
      <c r="J775">
        <v>14</v>
      </c>
      <c r="K775" s="1" t="s">
        <v>31</v>
      </c>
      <c r="L775" s="1" t="s">
        <v>49</v>
      </c>
      <c r="M775">
        <v>0</v>
      </c>
      <c r="N775">
        <v>0</v>
      </c>
      <c r="O775" s="1" t="s">
        <v>27</v>
      </c>
      <c r="P775">
        <v>1</v>
      </c>
      <c r="Q775">
        <v>1</v>
      </c>
      <c r="R775">
        <v>20</v>
      </c>
      <c r="S775">
        <v>11</v>
      </c>
      <c r="T775">
        <v>0</v>
      </c>
      <c r="U775">
        <v>0</v>
      </c>
      <c r="V775">
        <v>2.12</v>
      </c>
    </row>
    <row r="776" spans="1:22">
      <c r="A776" s="1" t="s">
        <v>822</v>
      </c>
      <c r="B776" s="1" t="s">
        <v>59</v>
      </c>
      <c r="C776" s="2">
        <v>46267</v>
      </c>
      <c r="D776" s="3">
        <v>0.39583333333333331</v>
      </c>
      <c r="E776">
        <v>104</v>
      </c>
      <c r="F776">
        <v>98</v>
      </c>
      <c r="G776">
        <v>4</v>
      </c>
      <c r="H776" s="1" t="s">
        <v>60</v>
      </c>
      <c r="I776">
        <v>24.8</v>
      </c>
      <c r="J776">
        <v>28</v>
      </c>
      <c r="K776" s="1" t="s">
        <v>61</v>
      </c>
      <c r="L776" s="1" t="s">
        <v>69</v>
      </c>
      <c r="M776">
        <v>0</v>
      </c>
      <c r="N776">
        <v>0</v>
      </c>
      <c r="O776" s="1" t="s">
        <v>27</v>
      </c>
      <c r="P776">
        <v>1</v>
      </c>
      <c r="Q776">
        <v>1</v>
      </c>
      <c r="R776">
        <v>2</v>
      </c>
      <c r="S776">
        <v>9</v>
      </c>
      <c r="T776">
        <v>1</v>
      </c>
      <c r="U776">
        <v>0</v>
      </c>
      <c r="V776">
        <v>4.1900000000000004</v>
      </c>
    </row>
    <row r="777" spans="1:22">
      <c r="A777" s="1" t="s">
        <v>823</v>
      </c>
      <c r="B777" s="1" t="s">
        <v>29</v>
      </c>
      <c r="C777" s="2">
        <v>46290</v>
      </c>
      <c r="D777" s="3">
        <v>0.33333333333333331</v>
      </c>
      <c r="E777">
        <v>144</v>
      </c>
      <c r="F777">
        <v>141</v>
      </c>
      <c r="G777">
        <v>5</v>
      </c>
      <c r="H777" s="1" t="s">
        <v>30</v>
      </c>
      <c r="I777">
        <v>32</v>
      </c>
      <c r="J777">
        <v>14</v>
      </c>
      <c r="K777" s="1" t="s">
        <v>31</v>
      </c>
      <c r="L777" s="1" t="s">
        <v>49</v>
      </c>
      <c r="M777">
        <v>0</v>
      </c>
      <c r="N777">
        <v>0</v>
      </c>
      <c r="O777" s="1" t="s">
        <v>27</v>
      </c>
      <c r="P777">
        <v>1</v>
      </c>
      <c r="Q777">
        <v>1</v>
      </c>
      <c r="R777">
        <v>20</v>
      </c>
      <c r="S777">
        <v>8</v>
      </c>
      <c r="T777">
        <v>1</v>
      </c>
      <c r="U777">
        <v>0</v>
      </c>
      <c r="V777">
        <v>4.5</v>
      </c>
    </row>
    <row r="778" spans="1:22">
      <c r="A778" s="1" t="s">
        <v>824</v>
      </c>
      <c r="B778" s="1" t="s">
        <v>23</v>
      </c>
      <c r="C778" s="2">
        <v>46291</v>
      </c>
      <c r="D778" s="3">
        <v>0.20833333333333334</v>
      </c>
      <c r="E778">
        <v>64</v>
      </c>
      <c r="F778">
        <v>61</v>
      </c>
      <c r="G778">
        <v>5</v>
      </c>
      <c r="H778" s="1" t="s">
        <v>24</v>
      </c>
      <c r="I778">
        <v>15</v>
      </c>
      <c r="J778">
        <v>16</v>
      </c>
      <c r="K778" s="1" t="s">
        <v>25</v>
      </c>
      <c r="L778" s="1" t="s">
        <v>32</v>
      </c>
      <c r="M778">
        <v>1</v>
      </c>
      <c r="N778">
        <v>0</v>
      </c>
      <c r="O778" s="1" t="s">
        <v>27</v>
      </c>
      <c r="P778">
        <v>1</v>
      </c>
      <c r="Q778">
        <v>1</v>
      </c>
      <c r="R778">
        <v>0</v>
      </c>
      <c r="S778">
        <v>5</v>
      </c>
      <c r="T778">
        <v>0</v>
      </c>
      <c r="U778">
        <v>0</v>
      </c>
      <c r="V778">
        <v>4.2699999999999996</v>
      </c>
    </row>
    <row r="779" spans="1:22">
      <c r="A779" s="1" t="s">
        <v>825</v>
      </c>
      <c r="B779" s="1" t="s">
        <v>29</v>
      </c>
      <c r="C779" s="2">
        <v>46274</v>
      </c>
      <c r="D779" s="3">
        <v>0.82291666666666663</v>
      </c>
      <c r="E779">
        <v>88</v>
      </c>
      <c r="F779">
        <v>93</v>
      </c>
      <c r="G779">
        <v>5</v>
      </c>
      <c r="H779" s="1" t="s">
        <v>30</v>
      </c>
      <c r="I779">
        <v>32</v>
      </c>
      <c r="J779">
        <v>14</v>
      </c>
      <c r="K779" s="1" t="s">
        <v>31</v>
      </c>
      <c r="L779" s="1" t="s">
        <v>69</v>
      </c>
      <c r="M779">
        <v>0</v>
      </c>
      <c r="N779">
        <v>0</v>
      </c>
      <c r="O779" s="1" t="s">
        <v>27</v>
      </c>
      <c r="P779">
        <v>1</v>
      </c>
      <c r="Q779">
        <v>1</v>
      </c>
      <c r="R779">
        <v>15</v>
      </c>
      <c r="S779">
        <v>19</v>
      </c>
      <c r="T779">
        <v>1</v>
      </c>
      <c r="U779">
        <v>0</v>
      </c>
      <c r="V779">
        <v>2.75</v>
      </c>
    </row>
    <row r="780" spans="1:22">
      <c r="A780" s="1" t="s">
        <v>826</v>
      </c>
      <c r="B780" s="1" t="s">
        <v>34</v>
      </c>
      <c r="C780" s="2">
        <v>46282</v>
      </c>
      <c r="D780" s="3">
        <v>0.61458333333333337</v>
      </c>
      <c r="E780">
        <v>152</v>
      </c>
      <c r="F780">
        <v>148</v>
      </c>
      <c r="G780">
        <v>6</v>
      </c>
      <c r="H780" s="1" t="s">
        <v>35</v>
      </c>
      <c r="I780">
        <v>12.2</v>
      </c>
      <c r="J780">
        <v>18</v>
      </c>
      <c r="K780" s="1" t="s">
        <v>36</v>
      </c>
      <c r="L780" s="1" t="s">
        <v>56</v>
      </c>
      <c r="M780">
        <v>0</v>
      </c>
      <c r="N780">
        <v>0</v>
      </c>
      <c r="O780" s="1" t="s">
        <v>27</v>
      </c>
      <c r="P780">
        <v>1</v>
      </c>
      <c r="Q780">
        <v>1</v>
      </c>
      <c r="R780">
        <v>6</v>
      </c>
      <c r="S780">
        <v>14</v>
      </c>
      <c r="T780">
        <v>0</v>
      </c>
      <c r="U780">
        <v>0</v>
      </c>
      <c r="V780">
        <v>12.46</v>
      </c>
    </row>
    <row r="781" spans="1:22">
      <c r="A781" s="1" t="s">
        <v>827</v>
      </c>
      <c r="B781" s="1" t="s">
        <v>29</v>
      </c>
      <c r="C781" s="2">
        <v>46291</v>
      </c>
      <c r="D781" s="3">
        <v>0.94791666666666663</v>
      </c>
      <c r="E781">
        <v>130</v>
      </c>
      <c r="F781">
        <v>126</v>
      </c>
      <c r="G781">
        <v>5</v>
      </c>
      <c r="H781" s="1" t="s">
        <v>30</v>
      </c>
      <c r="I781">
        <v>32</v>
      </c>
      <c r="J781">
        <v>14</v>
      </c>
      <c r="K781" s="1" t="s">
        <v>31</v>
      </c>
      <c r="L781" s="1" t="s">
        <v>32</v>
      </c>
      <c r="M781">
        <v>1</v>
      </c>
      <c r="N781">
        <v>0</v>
      </c>
      <c r="O781" s="1" t="s">
        <v>27</v>
      </c>
      <c r="P781">
        <v>1</v>
      </c>
      <c r="Q781">
        <v>0</v>
      </c>
      <c r="R781">
        <v>0</v>
      </c>
      <c r="S781">
        <v>22</v>
      </c>
      <c r="T781">
        <v>0</v>
      </c>
      <c r="U781">
        <v>0</v>
      </c>
      <c r="V781">
        <v>4.0599999999999996</v>
      </c>
    </row>
    <row r="782" spans="1:22">
      <c r="A782" s="1" t="s">
        <v>828</v>
      </c>
      <c r="B782" s="1" t="s">
        <v>59</v>
      </c>
      <c r="C782" s="2">
        <v>46268</v>
      </c>
      <c r="D782" s="3">
        <v>0.3125</v>
      </c>
      <c r="E782">
        <v>103</v>
      </c>
      <c r="F782">
        <v>93</v>
      </c>
      <c r="G782">
        <v>5</v>
      </c>
      <c r="H782" s="1" t="s">
        <v>60</v>
      </c>
      <c r="I782">
        <v>24.8</v>
      </c>
      <c r="J782">
        <v>28</v>
      </c>
      <c r="K782" s="1" t="s">
        <v>61</v>
      </c>
      <c r="L782" s="1" t="s">
        <v>56</v>
      </c>
      <c r="M782">
        <v>0</v>
      </c>
      <c r="N782">
        <v>0</v>
      </c>
      <c r="O782" s="1" t="s">
        <v>27</v>
      </c>
      <c r="P782">
        <v>1</v>
      </c>
      <c r="Q782">
        <v>1</v>
      </c>
      <c r="R782">
        <v>2</v>
      </c>
      <c r="S782">
        <v>7</v>
      </c>
      <c r="T782">
        <v>0</v>
      </c>
      <c r="U782">
        <v>0</v>
      </c>
      <c r="V782">
        <v>4.1500000000000004</v>
      </c>
    </row>
    <row r="783" spans="1:22">
      <c r="A783" s="1" t="s">
        <v>829</v>
      </c>
      <c r="B783" s="1" t="s">
        <v>23</v>
      </c>
      <c r="C783" s="2">
        <v>46289</v>
      </c>
      <c r="D783" s="3">
        <v>0.8125</v>
      </c>
      <c r="E783">
        <v>152</v>
      </c>
      <c r="F783">
        <v>157</v>
      </c>
      <c r="G783">
        <v>6</v>
      </c>
      <c r="H783" s="1" t="s">
        <v>24</v>
      </c>
      <c r="I783">
        <v>15</v>
      </c>
      <c r="J783">
        <v>16</v>
      </c>
      <c r="K783" s="1" t="s">
        <v>25</v>
      </c>
      <c r="L783" s="1" t="s">
        <v>56</v>
      </c>
      <c r="M783">
        <v>0</v>
      </c>
      <c r="N783">
        <v>0</v>
      </c>
      <c r="O783" s="1" t="s">
        <v>27</v>
      </c>
      <c r="P783">
        <v>1</v>
      </c>
      <c r="Q783">
        <v>1</v>
      </c>
      <c r="R783">
        <v>3</v>
      </c>
      <c r="S783">
        <v>19</v>
      </c>
      <c r="T783">
        <v>1</v>
      </c>
      <c r="U783">
        <v>0</v>
      </c>
      <c r="V783">
        <v>10.130000000000001</v>
      </c>
    </row>
    <row r="784" spans="1:22">
      <c r="A784" s="1" t="s">
        <v>830</v>
      </c>
      <c r="B784" s="1" t="s">
        <v>29</v>
      </c>
      <c r="C784" s="2">
        <v>46271</v>
      </c>
      <c r="D784" s="3">
        <v>0.625</v>
      </c>
      <c r="E784">
        <v>176</v>
      </c>
      <c r="F784">
        <v>176</v>
      </c>
      <c r="G784">
        <v>6</v>
      </c>
      <c r="H784" s="1" t="s">
        <v>30</v>
      </c>
      <c r="I784">
        <v>32</v>
      </c>
      <c r="J784">
        <v>14</v>
      </c>
      <c r="K784" s="1" t="s">
        <v>31</v>
      </c>
      <c r="L784" s="1" t="s">
        <v>38</v>
      </c>
      <c r="M784">
        <v>1</v>
      </c>
      <c r="N784">
        <v>0</v>
      </c>
      <c r="O784" s="1" t="s">
        <v>27</v>
      </c>
      <c r="P784">
        <v>1</v>
      </c>
      <c r="Q784">
        <v>1</v>
      </c>
      <c r="R784">
        <v>7</v>
      </c>
      <c r="S784">
        <v>15</v>
      </c>
      <c r="T784">
        <v>0</v>
      </c>
      <c r="U784">
        <v>0</v>
      </c>
      <c r="V784">
        <v>5.5</v>
      </c>
    </row>
    <row r="785" spans="1:22">
      <c r="A785" s="1" t="s">
        <v>831</v>
      </c>
      <c r="B785" s="1" t="s">
        <v>45</v>
      </c>
      <c r="C785" s="2">
        <v>46270</v>
      </c>
      <c r="D785" s="3">
        <v>0.88541666666666663</v>
      </c>
      <c r="E785">
        <v>61</v>
      </c>
      <c r="F785">
        <v>59</v>
      </c>
      <c r="G785">
        <v>3</v>
      </c>
      <c r="H785" s="1" t="s">
        <v>46</v>
      </c>
      <c r="I785">
        <v>18.5</v>
      </c>
      <c r="J785">
        <v>22</v>
      </c>
      <c r="K785" s="1" t="s">
        <v>47</v>
      </c>
      <c r="L785" s="1" t="s">
        <v>32</v>
      </c>
      <c r="M785">
        <v>1</v>
      </c>
      <c r="N785">
        <v>1</v>
      </c>
      <c r="O785" s="1" t="s">
        <v>27</v>
      </c>
      <c r="P785">
        <v>1</v>
      </c>
      <c r="Q785">
        <v>1</v>
      </c>
      <c r="R785">
        <v>6</v>
      </c>
      <c r="S785">
        <v>21</v>
      </c>
      <c r="T785">
        <v>0</v>
      </c>
      <c r="U785">
        <v>0</v>
      </c>
      <c r="V785">
        <v>3.3</v>
      </c>
    </row>
    <row r="786" spans="1:22">
      <c r="A786" s="1" t="s">
        <v>832</v>
      </c>
      <c r="B786" s="1" t="s">
        <v>45</v>
      </c>
      <c r="C786" s="2">
        <v>46270</v>
      </c>
      <c r="D786" s="3">
        <v>0.40625</v>
      </c>
      <c r="E786">
        <v>110</v>
      </c>
      <c r="F786">
        <v>106</v>
      </c>
      <c r="G786">
        <v>6</v>
      </c>
      <c r="H786" s="1" t="s">
        <v>46</v>
      </c>
      <c r="I786">
        <v>18.5</v>
      </c>
      <c r="J786">
        <v>22</v>
      </c>
      <c r="K786" s="1" t="s">
        <v>47</v>
      </c>
      <c r="L786" s="1" t="s">
        <v>32</v>
      </c>
      <c r="M786">
        <v>1</v>
      </c>
      <c r="N786">
        <v>1</v>
      </c>
      <c r="O786" s="1" t="s">
        <v>27</v>
      </c>
      <c r="P786">
        <v>1</v>
      </c>
      <c r="Q786">
        <v>1</v>
      </c>
      <c r="R786">
        <v>0</v>
      </c>
      <c r="S786">
        <v>9</v>
      </c>
      <c r="T786">
        <v>1</v>
      </c>
      <c r="U786">
        <v>0</v>
      </c>
      <c r="V786">
        <v>5.95</v>
      </c>
    </row>
    <row r="787" spans="1:22">
      <c r="A787" s="1" t="s">
        <v>833</v>
      </c>
      <c r="B787" s="1" t="s">
        <v>29</v>
      </c>
      <c r="C787" s="2">
        <v>46287</v>
      </c>
      <c r="D787" s="3">
        <v>0.28125</v>
      </c>
      <c r="E787">
        <v>134</v>
      </c>
      <c r="F787">
        <v>124</v>
      </c>
      <c r="G787">
        <v>6</v>
      </c>
      <c r="H787" s="1" t="s">
        <v>30</v>
      </c>
      <c r="I787">
        <v>32</v>
      </c>
      <c r="J787">
        <v>14</v>
      </c>
      <c r="K787" s="1" t="s">
        <v>31</v>
      </c>
      <c r="L787" s="1" t="s">
        <v>26</v>
      </c>
      <c r="M787">
        <v>0</v>
      </c>
      <c r="N787">
        <v>0</v>
      </c>
      <c r="O787" s="1" t="s">
        <v>27</v>
      </c>
      <c r="P787">
        <v>1</v>
      </c>
      <c r="Q787">
        <v>1</v>
      </c>
      <c r="R787">
        <v>2</v>
      </c>
      <c r="S787">
        <v>6</v>
      </c>
      <c r="T787">
        <v>0</v>
      </c>
      <c r="U787">
        <v>0</v>
      </c>
      <c r="V787">
        <v>4.1900000000000004</v>
      </c>
    </row>
    <row r="788" spans="1:22">
      <c r="A788" s="1" t="s">
        <v>834</v>
      </c>
      <c r="B788" s="1" t="s">
        <v>23</v>
      </c>
      <c r="C788" s="2">
        <v>46280</v>
      </c>
      <c r="D788" s="3">
        <v>0.67708333333333337</v>
      </c>
      <c r="E788">
        <v>95</v>
      </c>
      <c r="F788">
        <v>97</v>
      </c>
      <c r="G788">
        <v>7</v>
      </c>
      <c r="H788" s="1" t="s">
        <v>24</v>
      </c>
      <c r="I788">
        <v>15</v>
      </c>
      <c r="J788">
        <v>16</v>
      </c>
      <c r="K788" s="1" t="s">
        <v>25</v>
      </c>
      <c r="L788" s="1" t="s">
        <v>26</v>
      </c>
      <c r="M788">
        <v>0</v>
      </c>
      <c r="N788">
        <v>0</v>
      </c>
      <c r="O788" s="1" t="s">
        <v>27</v>
      </c>
      <c r="P788">
        <v>1</v>
      </c>
      <c r="Q788">
        <v>1</v>
      </c>
      <c r="R788">
        <v>0</v>
      </c>
      <c r="S788">
        <v>16</v>
      </c>
      <c r="T788">
        <v>0</v>
      </c>
      <c r="U788">
        <v>0</v>
      </c>
      <c r="V788">
        <v>6.33</v>
      </c>
    </row>
    <row r="789" spans="1:22">
      <c r="A789" s="1" t="s">
        <v>835</v>
      </c>
      <c r="B789" s="1" t="s">
        <v>59</v>
      </c>
      <c r="C789" s="2">
        <v>46288</v>
      </c>
      <c r="D789" s="3">
        <v>0.22916666666666666</v>
      </c>
      <c r="E789">
        <v>119</v>
      </c>
      <c r="F789">
        <v>117</v>
      </c>
      <c r="G789">
        <v>5</v>
      </c>
      <c r="H789" s="1" t="s">
        <v>60</v>
      </c>
      <c r="I789">
        <v>24.8</v>
      </c>
      <c r="J789">
        <v>28</v>
      </c>
      <c r="K789" s="1" t="s">
        <v>61</v>
      </c>
      <c r="L789" s="1" t="s">
        <v>69</v>
      </c>
      <c r="M789">
        <v>0</v>
      </c>
      <c r="N789">
        <v>0</v>
      </c>
      <c r="O789" s="1" t="s">
        <v>27</v>
      </c>
      <c r="P789">
        <v>1</v>
      </c>
      <c r="Q789">
        <v>1</v>
      </c>
      <c r="R789">
        <v>36</v>
      </c>
      <c r="S789">
        <v>5</v>
      </c>
      <c r="T789">
        <v>0</v>
      </c>
      <c r="U789">
        <v>0</v>
      </c>
      <c r="V789">
        <v>4.8</v>
      </c>
    </row>
    <row r="790" spans="1:22">
      <c r="A790" s="1" t="s">
        <v>836</v>
      </c>
      <c r="B790" s="1" t="s">
        <v>29</v>
      </c>
      <c r="C790" s="2">
        <v>46282</v>
      </c>
      <c r="D790" s="3">
        <v>0.33333333333333331</v>
      </c>
      <c r="E790">
        <v>91</v>
      </c>
      <c r="F790">
        <v>91</v>
      </c>
      <c r="G790">
        <v>5</v>
      </c>
      <c r="H790" s="1" t="s">
        <v>30</v>
      </c>
      <c r="I790">
        <v>32</v>
      </c>
      <c r="J790">
        <v>14</v>
      </c>
      <c r="K790" s="1" t="s">
        <v>31</v>
      </c>
      <c r="L790" s="1" t="s">
        <v>56</v>
      </c>
      <c r="M790">
        <v>0</v>
      </c>
      <c r="N790">
        <v>0</v>
      </c>
      <c r="O790" s="1" t="s">
        <v>27</v>
      </c>
      <c r="P790">
        <v>1</v>
      </c>
      <c r="Q790">
        <v>1</v>
      </c>
      <c r="R790">
        <v>1</v>
      </c>
      <c r="S790">
        <v>8</v>
      </c>
      <c r="T790">
        <v>1</v>
      </c>
      <c r="U790">
        <v>0</v>
      </c>
      <c r="V790">
        <v>2.84</v>
      </c>
    </row>
    <row r="791" spans="1:22">
      <c r="A791" s="1" t="s">
        <v>837</v>
      </c>
      <c r="B791" s="1" t="s">
        <v>34</v>
      </c>
      <c r="C791" s="2">
        <v>46274</v>
      </c>
      <c r="D791" s="3">
        <v>0.71875</v>
      </c>
      <c r="E791">
        <v>128</v>
      </c>
      <c r="F791">
        <v>133</v>
      </c>
      <c r="G791">
        <v>7</v>
      </c>
      <c r="H791" s="1" t="s">
        <v>35</v>
      </c>
      <c r="I791">
        <v>12.2</v>
      </c>
      <c r="J791">
        <v>18</v>
      </c>
      <c r="K791" s="1" t="s">
        <v>36</v>
      </c>
      <c r="L791" s="1" t="s">
        <v>69</v>
      </c>
      <c r="M791">
        <v>0</v>
      </c>
      <c r="N791">
        <v>0</v>
      </c>
      <c r="O791" s="1" t="s">
        <v>27</v>
      </c>
      <c r="P791">
        <v>1</v>
      </c>
      <c r="Q791">
        <v>1</v>
      </c>
      <c r="R791">
        <v>4</v>
      </c>
      <c r="S791">
        <v>17</v>
      </c>
      <c r="T791">
        <v>1</v>
      </c>
      <c r="U791">
        <v>0</v>
      </c>
      <c r="V791">
        <v>10.49</v>
      </c>
    </row>
    <row r="792" spans="1:22">
      <c r="A792" s="1" t="s">
        <v>838</v>
      </c>
      <c r="B792" s="1" t="s">
        <v>34</v>
      </c>
      <c r="C792" s="2">
        <v>46268</v>
      </c>
      <c r="D792" s="3">
        <v>0.38541666666666669</v>
      </c>
      <c r="E792">
        <v>81</v>
      </c>
      <c r="F792">
        <v>72</v>
      </c>
      <c r="G792">
        <v>4</v>
      </c>
      <c r="H792" s="1" t="s">
        <v>35</v>
      </c>
      <c r="I792">
        <v>12.2</v>
      </c>
      <c r="J792">
        <v>18</v>
      </c>
      <c r="K792" s="1" t="s">
        <v>36</v>
      </c>
      <c r="L792" s="1" t="s">
        <v>56</v>
      </c>
      <c r="M792">
        <v>0</v>
      </c>
      <c r="N792">
        <v>0</v>
      </c>
      <c r="O792" s="1" t="s">
        <v>27</v>
      </c>
      <c r="P792">
        <v>1</v>
      </c>
      <c r="Q792">
        <v>1</v>
      </c>
      <c r="R792">
        <v>4</v>
      </c>
      <c r="S792">
        <v>9</v>
      </c>
      <c r="T792">
        <v>1</v>
      </c>
      <c r="U792">
        <v>0</v>
      </c>
      <c r="V792">
        <v>6.64</v>
      </c>
    </row>
    <row r="793" spans="1:22">
      <c r="A793" s="1" t="s">
        <v>839</v>
      </c>
      <c r="B793" s="1" t="s">
        <v>45</v>
      </c>
      <c r="C793" s="2">
        <v>46285</v>
      </c>
      <c r="D793" s="3">
        <v>0.3125</v>
      </c>
      <c r="E793">
        <v>121</v>
      </c>
      <c r="F793">
        <v>123</v>
      </c>
      <c r="G793">
        <v>3</v>
      </c>
      <c r="H793" s="1" t="s">
        <v>46</v>
      </c>
      <c r="I793">
        <v>18.5</v>
      </c>
      <c r="J793">
        <v>22</v>
      </c>
      <c r="K793" s="1" t="s">
        <v>47</v>
      </c>
      <c r="L793" s="1" t="s">
        <v>38</v>
      </c>
      <c r="M793">
        <v>1</v>
      </c>
      <c r="N793">
        <v>0</v>
      </c>
      <c r="O793" s="1" t="s">
        <v>52</v>
      </c>
      <c r="P793">
        <v>1</v>
      </c>
      <c r="Q793">
        <v>1</v>
      </c>
      <c r="R793">
        <v>6</v>
      </c>
      <c r="S793">
        <v>7</v>
      </c>
      <c r="T793">
        <v>0</v>
      </c>
      <c r="U793">
        <v>1</v>
      </c>
      <c r="V793">
        <v>6.54</v>
      </c>
    </row>
    <row r="794" spans="1:22">
      <c r="A794" s="1" t="s">
        <v>840</v>
      </c>
      <c r="B794" s="1" t="s">
        <v>29</v>
      </c>
      <c r="C794" s="2">
        <v>46291</v>
      </c>
      <c r="D794" s="3">
        <v>0.73958333333333337</v>
      </c>
      <c r="E794">
        <v>105</v>
      </c>
      <c r="F794">
        <v>102</v>
      </c>
      <c r="G794">
        <v>5</v>
      </c>
      <c r="H794" s="1" t="s">
        <v>30</v>
      </c>
      <c r="I794">
        <v>32</v>
      </c>
      <c r="J794">
        <v>14</v>
      </c>
      <c r="K794" s="1" t="s">
        <v>31</v>
      </c>
      <c r="L794" s="1" t="s">
        <v>32</v>
      </c>
      <c r="M794">
        <v>1</v>
      </c>
      <c r="N794">
        <v>0</v>
      </c>
      <c r="O794" s="1" t="s">
        <v>27</v>
      </c>
      <c r="P794">
        <v>1</v>
      </c>
      <c r="Q794">
        <v>1</v>
      </c>
      <c r="R794">
        <v>3</v>
      </c>
      <c r="S794">
        <v>17</v>
      </c>
      <c r="T794">
        <v>1</v>
      </c>
      <c r="U794">
        <v>0</v>
      </c>
      <c r="V794">
        <v>3.28</v>
      </c>
    </row>
    <row r="795" spans="1:22">
      <c r="A795" s="1" t="s">
        <v>841</v>
      </c>
      <c r="B795" s="1" t="s">
        <v>59</v>
      </c>
      <c r="C795" s="2">
        <v>46282</v>
      </c>
      <c r="D795" s="3">
        <v>0.76041666666666663</v>
      </c>
      <c r="E795">
        <v>64</v>
      </c>
      <c r="F795">
        <v>65</v>
      </c>
      <c r="G795">
        <v>3</v>
      </c>
      <c r="H795" s="1" t="s">
        <v>60</v>
      </c>
      <c r="I795">
        <v>24.8</v>
      </c>
      <c r="J795">
        <v>28</v>
      </c>
      <c r="K795" s="1" t="s">
        <v>61</v>
      </c>
      <c r="L795" s="1" t="s">
        <v>56</v>
      </c>
      <c r="M795">
        <v>0</v>
      </c>
      <c r="N795">
        <v>0</v>
      </c>
      <c r="O795" s="1" t="s">
        <v>27</v>
      </c>
      <c r="P795">
        <v>1</v>
      </c>
      <c r="Q795">
        <v>1</v>
      </c>
      <c r="R795">
        <v>10</v>
      </c>
      <c r="S795">
        <v>18</v>
      </c>
      <c r="T795">
        <v>1</v>
      </c>
      <c r="U795">
        <v>0</v>
      </c>
      <c r="V795">
        <v>2.58</v>
      </c>
    </row>
    <row r="796" spans="1:22">
      <c r="A796" s="1" t="s">
        <v>842</v>
      </c>
      <c r="B796" s="1" t="s">
        <v>45</v>
      </c>
      <c r="C796" s="2">
        <v>46294</v>
      </c>
      <c r="D796" s="3">
        <v>0.65625</v>
      </c>
      <c r="E796">
        <v>137</v>
      </c>
      <c r="F796">
        <v>125</v>
      </c>
      <c r="G796">
        <v>6</v>
      </c>
      <c r="H796" s="1" t="s">
        <v>46</v>
      </c>
      <c r="I796">
        <v>18.5</v>
      </c>
      <c r="J796">
        <v>22</v>
      </c>
      <c r="K796" s="1" t="s">
        <v>47</v>
      </c>
      <c r="L796" s="1" t="s">
        <v>26</v>
      </c>
      <c r="M796">
        <v>0</v>
      </c>
      <c r="N796">
        <v>0</v>
      </c>
      <c r="O796" s="1" t="s">
        <v>27</v>
      </c>
      <c r="P796">
        <v>1</v>
      </c>
      <c r="Q796">
        <v>1</v>
      </c>
      <c r="R796">
        <v>11</v>
      </c>
      <c r="S796">
        <v>15</v>
      </c>
      <c r="T796">
        <v>0</v>
      </c>
      <c r="U796">
        <v>0</v>
      </c>
      <c r="V796">
        <v>7.41</v>
      </c>
    </row>
    <row r="797" spans="1:22">
      <c r="A797" s="1" t="s">
        <v>843</v>
      </c>
      <c r="B797" s="1" t="s">
        <v>29</v>
      </c>
      <c r="C797" s="2">
        <v>46292</v>
      </c>
      <c r="D797" s="3">
        <v>0.60416666666666663</v>
      </c>
      <c r="E797">
        <v>99</v>
      </c>
      <c r="F797">
        <v>94</v>
      </c>
      <c r="G797">
        <v>3</v>
      </c>
      <c r="H797" s="1" t="s">
        <v>30</v>
      </c>
      <c r="I797">
        <v>32</v>
      </c>
      <c r="J797">
        <v>14</v>
      </c>
      <c r="K797" s="1" t="s">
        <v>31</v>
      </c>
      <c r="L797" s="1" t="s">
        <v>38</v>
      </c>
      <c r="M797">
        <v>1</v>
      </c>
      <c r="N797">
        <v>0</v>
      </c>
      <c r="O797" s="1" t="s">
        <v>134</v>
      </c>
      <c r="P797">
        <v>1</v>
      </c>
      <c r="Q797">
        <v>1</v>
      </c>
      <c r="R797">
        <v>3</v>
      </c>
      <c r="S797">
        <v>14</v>
      </c>
      <c r="T797">
        <v>0</v>
      </c>
      <c r="U797">
        <v>1</v>
      </c>
      <c r="V797">
        <v>3.09</v>
      </c>
    </row>
    <row r="798" spans="1:22">
      <c r="A798" s="1" t="s">
        <v>844</v>
      </c>
      <c r="B798" s="1" t="s">
        <v>29</v>
      </c>
      <c r="C798" s="2">
        <v>46275</v>
      </c>
      <c r="D798" s="3">
        <v>0.92708333333333337</v>
      </c>
      <c r="E798">
        <v>115</v>
      </c>
      <c r="F798">
        <v>126</v>
      </c>
      <c r="G798">
        <v>6</v>
      </c>
      <c r="H798" s="1" t="s">
        <v>30</v>
      </c>
      <c r="I798">
        <v>32</v>
      </c>
      <c r="J798">
        <v>14</v>
      </c>
      <c r="K798" s="1" t="s">
        <v>31</v>
      </c>
      <c r="L798" s="1" t="s">
        <v>56</v>
      </c>
      <c r="M798">
        <v>0</v>
      </c>
      <c r="N798">
        <v>0</v>
      </c>
      <c r="O798" s="1" t="s">
        <v>27</v>
      </c>
      <c r="P798">
        <v>1</v>
      </c>
      <c r="Q798">
        <v>1</v>
      </c>
      <c r="R798">
        <v>1</v>
      </c>
      <c r="S798">
        <v>22</v>
      </c>
      <c r="T798">
        <v>0</v>
      </c>
      <c r="U798">
        <v>0</v>
      </c>
      <c r="V798">
        <v>3.59</v>
      </c>
    </row>
    <row r="799" spans="1:22">
      <c r="A799" s="1" t="s">
        <v>845</v>
      </c>
      <c r="B799" s="1" t="s">
        <v>34</v>
      </c>
      <c r="C799" s="2">
        <v>46268</v>
      </c>
      <c r="D799" s="3">
        <v>0.79166666666666663</v>
      </c>
      <c r="E799">
        <v>155</v>
      </c>
      <c r="F799">
        <v>157</v>
      </c>
      <c r="G799">
        <v>7</v>
      </c>
      <c r="H799" s="1" t="s">
        <v>35</v>
      </c>
      <c r="I799">
        <v>12.2</v>
      </c>
      <c r="J799">
        <v>18</v>
      </c>
      <c r="K799" s="1" t="s">
        <v>36</v>
      </c>
      <c r="L799" s="1" t="s">
        <v>56</v>
      </c>
      <c r="M799">
        <v>0</v>
      </c>
      <c r="N799">
        <v>0</v>
      </c>
      <c r="O799" s="1" t="s">
        <v>27</v>
      </c>
      <c r="P799">
        <v>1</v>
      </c>
      <c r="Q799">
        <v>1</v>
      </c>
      <c r="R799">
        <v>1</v>
      </c>
      <c r="S799">
        <v>19</v>
      </c>
      <c r="T799">
        <v>1</v>
      </c>
      <c r="U799">
        <v>0</v>
      </c>
      <c r="V799">
        <v>12.7</v>
      </c>
    </row>
    <row r="800" spans="1:22">
      <c r="A800" s="1" t="s">
        <v>846</v>
      </c>
      <c r="B800" s="1" t="s">
        <v>23</v>
      </c>
      <c r="C800" s="2">
        <v>46283</v>
      </c>
      <c r="D800" s="3">
        <v>0.58333333333333337</v>
      </c>
      <c r="E800">
        <v>127</v>
      </c>
      <c r="F800">
        <v>120</v>
      </c>
      <c r="G800">
        <v>5</v>
      </c>
      <c r="H800" s="1" t="s">
        <v>24</v>
      </c>
      <c r="I800">
        <v>15</v>
      </c>
      <c r="J800">
        <v>16</v>
      </c>
      <c r="K800" s="1" t="s">
        <v>25</v>
      </c>
      <c r="L800" s="1" t="s">
        <v>49</v>
      </c>
      <c r="M800">
        <v>0</v>
      </c>
      <c r="N800">
        <v>0</v>
      </c>
      <c r="O800" s="1" t="s">
        <v>27</v>
      </c>
      <c r="P800">
        <v>1</v>
      </c>
      <c r="Q800">
        <v>1</v>
      </c>
      <c r="R800">
        <v>9</v>
      </c>
      <c r="S800">
        <v>14</v>
      </c>
      <c r="T800">
        <v>0</v>
      </c>
      <c r="U800">
        <v>0</v>
      </c>
      <c r="V800">
        <v>8.4700000000000006</v>
      </c>
    </row>
    <row r="801" spans="1:22">
      <c r="A801" s="1" t="s">
        <v>847</v>
      </c>
      <c r="B801" s="1" t="s">
        <v>45</v>
      </c>
      <c r="C801" s="2">
        <v>46283</v>
      </c>
      <c r="D801" s="3">
        <v>0.38541666666666669</v>
      </c>
      <c r="E801">
        <v>122</v>
      </c>
      <c r="F801">
        <v>123</v>
      </c>
      <c r="G801">
        <v>4</v>
      </c>
      <c r="H801" s="1" t="s">
        <v>46</v>
      </c>
      <c r="I801">
        <v>18.5</v>
      </c>
      <c r="J801">
        <v>22</v>
      </c>
      <c r="K801" s="1" t="s">
        <v>47</v>
      </c>
      <c r="L801" s="1" t="s">
        <v>49</v>
      </c>
      <c r="M801">
        <v>0</v>
      </c>
      <c r="N801">
        <v>0</v>
      </c>
      <c r="O801" s="1" t="s">
        <v>27</v>
      </c>
      <c r="P801">
        <v>1</v>
      </c>
      <c r="Q801">
        <v>1</v>
      </c>
      <c r="R801">
        <v>9</v>
      </c>
      <c r="S801">
        <v>9</v>
      </c>
      <c r="T801">
        <v>1</v>
      </c>
      <c r="U801">
        <v>0</v>
      </c>
      <c r="V801">
        <v>6.59</v>
      </c>
    </row>
    <row r="802" spans="1:22">
      <c r="A802" s="1" t="s">
        <v>848</v>
      </c>
      <c r="B802" s="1" t="s">
        <v>23</v>
      </c>
      <c r="C802" s="2">
        <v>46295</v>
      </c>
      <c r="D802" s="3">
        <v>0.39583333333333331</v>
      </c>
      <c r="E802">
        <v>30</v>
      </c>
      <c r="F802">
        <v>27</v>
      </c>
      <c r="G802">
        <v>3</v>
      </c>
      <c r="H802" s="1" t="s">
        <v>24</v>
      </c>
      <c r="I802">
        <v>15</v>
      </c>
      <c r="J802">
        <v>16</v>
      </c>
      <c r="K802" s="1" t="s">
        <v>25</v>
      </c>
      <c r="L802" s="1" t="s">
        <v>69</v>
      </c>
      <c r="M802">
        <v>0</v>
      </c>
      <c r="N802">
        <v>0</v>
      </c>
      <c r="O802" s="1" t="s">
        <v>27</v>
      </c>
      <c r="P802">
        <v>1</v>
      </c>
      <c r="Q802">
        <v>1</v>
      </c>
      <c r="R802">
        <v>44</v>
      </c>
      <c r="S802">
        <v>9</v>
      </c>
      <c r="T802">
        <v>1</v>
      </c>
      <c r="U802">
        <v>0</v>
      </c>
      <c r="V802">
        <v>2</v>
      </c>
    </row>
    <row r="803" spans="1:22">
      <c r="A803" s="1" t="s">
        <v>849</v>
      </c>
      <c r="B803" s="1" t="s">
        <v>45</v>
      </c>
      <c r="C803" s="2">
        <v>46282</v>
      </c>
      <c r="D803" s="3">
        <v>0.44791666666666669</v>
      </c>
      <c r="E803">
        <v>131</v>
      </c>
      <c r="F803">
        <v>124</v>
      </c>
      <c r="G803">
        <v>6</v>
      </c>
      <c r="H803" s="1" t="s">
        <v>46</v>
      </c>
      <c r="I803">
        <v>18.5</v>
      </c>
      <c r="J803">
        <v>22</v>
      </c>
      <c r="K803" s="1" t="s">
        <v>47</v>
      </c>
      <c r="L803" s="1" t="s">
        <v>56</v>
      </c>
      <c r="M803">
        <v>0</v>
      </c>
      <c r="N803">
        <v>0</v>
      </c>
      <c r="O803" s="1" t="s">
        <v>27</v>
      </c>
      <c r="P803">
        <v>1</v>
      </c>
      <c r="Q803">
        <v>1</v>
      </c>
      <c r="R803">
        <v>0</v>
      </c>
      <c r="S803">
        <v>10</v>
      </c>
      <c r="T803">
        <v>1</v>
      </c>
      <c r="U803">
        <v>0</v>
      </c>
      <c r="V803">
        <v>7.08</v>
      </c>
    </row>
    <row r="804" spans="1:22">
      <c r="A804" s="1" t="s">
        <v>850</v>
      </c>
      <c r="B804" s="1" t="s">
        <v>29</v>
      </c>
      <c r="C804" s="2">
        <v>46289</v>
      </c>
      <c r="D804" s="3">
        <v>0.94791666666666663</v>
      </c>
      <c r="E804">
        <v>77</v>
      </c>
      <c r="F804">
        <v>71</v>
      </c>
      <c r="G804">
        <v>2</v>
      </c>
      <c r="H804" s="1" t="s">
        <v>30</v>
      </c>
      <c r="I804">
        <v>32</v>
      </c>
      <c r="J804">
        <v>14</v>
      </c>
      <c r="K804" s="1" t="s">
        <v>31</v>
      </c>
      <c r="L804" s="1" t="s">
        <v>56</v>
      </c>
      <c r="M804">
        <v>0</v>
      </c>
      <c r="N804">
        <v>0</v>
      </c>
      <c r="O804" s="1" t="s">
        <v>27</v>
      </c>
      <c r="P804">
        <v>1</v>
      </c>
      <c r="Q804">
        <v>1</v>
      </c>
      <c r="R804">
        <v>8</v>
      </c>
      <c r="S804">
        <v>22</v>
      </c>
      <c r="T804">
        <v>0</v>
      </c>
      <c r="U804">
        <v>0</v>
      </c>
      <c r="V804">
        <v>2.41</v>
      </c>
    </row>
    <row r="805" spans="1:22">
      <c r="A805" s="1" t="s">
        <v>851</v>
      </c>
      <c r="B805" s="1" t="s">
        <v>34</v>
      </c>
      <c r="C805" s="2">
        <v>46268</v>
      </c>
      <c r="D805" s="3">
        <v>0.54166666666666663</v>
      </c>
      <c r="E805">
        <v>93</v>
      </c>
      <c r="F805">
        <v>99</v>
      </c>
      <c r="G805">
        <v>3</v>
      </c>
      <c r="H805" s="1" t="s">
        <v>35</v>
      </c>
      <c r="I805">
        <v>12.2</v>
      </c>
      <c r="J805">
        <v>18</v>
      </c>
      <c r="K805" s="1" t="s">
        <v>36</v>
      </c>
      <c r="L805" s="1" t="s">
        <v>56</v>
      </c>
      <c r="M805">
        <v>0</v>
      </c>
      <c r="N805">
        <v>0</v>
      </c>
      <c r="O805" s="1" t="s">
        <v>27</v>
      </c>
      <c r="P805">
        <v>1</v>
      </c>
      <c r="Q805">
        <v>1</v>
      </c>
      <c r="R805">
        <v>3</v>
      </c>
      <c r="S805">
        <v>13</v>
      </c>
      <c r="T805">
        <v>0</v>
      </c>
      <c r="U805">
        <v>0</v>
      </c>
      <c r="V805">
        <v>7.62</v>
      </c>
    </row>
    <row r="806" spans="1:22">
      <c r="A806" s="1" t="s">
        <v>852</v>
      </c>
      <c r="B806" s="1" t="s">
        <v>29</v>
      </c>
      <c r="C806" s="2">
        <v>46268</v>
      </c>
      <c r="D806" s="3">
        <v>0.72916666666666663</v>
      </c>
      <c r="E806">
        <v>101</v>
      </c>
      <c r="F806">
        <v>93</v>
      </c>
      <c r="G806">
        <v>4</v>
      </c>
      <c r="H806" s="1" t="s">
        <v>30</v>
      </c>
      <c r="I806">
        <v>32</v>
      </c>
      <c r="J806">
        <v>14</v>
      </c>
      <c r="K806" s="1" t="s">
        <v>31</v>
      </c>
      <c r="L806" s="1" t="s">
        <v>56</v>
      </c>
      <c r="M806">
        <v>0</v>
      </c>
      <c r="N806">
        <v>0</v>
      </c>
      <c r="O806" s="1" t="s">
        <v>27</v>
      </c>
      <c r="P806">
        <v>1</v>
      </c>
      <c r="Q806">
        <v>1</v>
      </c>
      <c r="R806">
        <v>11</v>
      </c>
      <c r="S806">
        <v>17</v>
      </c>
      <c r="T806">
        <v>1</v>
      </c>
      <c r="U806">
        <v>0</v>
      </c>
      <c r="V806">
        <v>3.16</v>
      </c>
    </row>
    <row r="807" spans="1:22">
      <c r="A807" s="1" t="s">
        <v>853</v>
      </c>
      <c r="B807" s="1" t="s">
        <v>59</v>
      </c>
      <c r="C807" s="2">
        <v>46271</v>
      </c>
      <c r="D807" s="3">
        <v>0.80208333333333337</v>
      </c>
      <c r="E807">
        <v>162</v>
      </c>
      <c r="F807">
        <v>172</v>
      </c>
      <c r="G807">
        <v>7</v>
      </c>
      <c r="H807" s="1" t="s">
        <v>60</v>
      </c>
      <c r="I807">
        <v>24.8</v>
      </c>
      <c r="J807">
        <v>28</v>
      </c>
      <c r="K807" s="1" t="s">
        <v>61</v>
      </c>
      <c r="L807" s="1" t="s">
        <v>38</v>
      </c>
      <c r="M807">
        <v>1</v>
      </c>
      <c r="N807">
        <v>0</v>
      </c>
      <c r="O807" s="1" t="s">
        <v>27</v>
      </c>
      <c r="P807">
        <v>1</v>
      </c>
      <c r="Q807">
        <v>1</v>
      </c>
      <c r="R807">
        <v>6</v>
      </c>
      <c r="S807">
        <v>19</v>
      </c>
      <c r="T807">
        <v>1</v>
      </c>
      <c r="U807">
        <v>0</v>
      </c>
      <c r="V807">
        <v>6.53</v>
      </c>
    </row>
    <row r="808" spans="1:22">
      <c r="A808" s="1" t="s">
        <v>854</v>
      </c>
      <c r="B808" s="1" t="s">
        <v>45</v>
      </c>
      <c r="C808" s="2">
        <v>46278</v>
      </c>
      <c r="D808" s="3">
        <v>0.875</v>
      </c>
      <c r="E808">
        <v>112</v>
      </c>
      <c r="F808">
        <v>97</v>
      </c>
      <c r="G808">
        <v>6</v>
      </c>
      <c r="H808" s="1" t="s">
        <v>46</v>
      </c>
      <c r="I808">
        <v>18.5</v>
      </c>
      <c r="J808">
        <v>22</v>
      </c>
      <c r="K808" s="1" t="s">
        <v>47</v>
      </c>
      <c r="L808" s="1" t="s">
        <v>38</v>
      </c>
      <c r="M808">
        <v>1</v>
      </c>
      <c r="N808">
        <v>0</v>
      </c>
      <c r="O808" s="1" t="s">
        <v>27</v>
      </c>
      <c r="P808">
        <v>1</v>
      </c>
      <c r="Q808">
        <v>1</v>
      </c>
      <c r="R808">
        <v>5</v>
      </c>
      <c r="S808">
        <v>21</v>
      </c>
      <c r="T808">
        <v>0</v>
      </c>
      <c r="U808">
        <v>0</v>
      </c>
      <c r="V808">
        <v>6.05</v>
      </c>
    </row>
    <row r="809" spans="1:22">
      <c r="A809" s="1" t="s">
        <v>855</v>
      </c>
      <c r="B809" s="1" t="s">
        <v>23</v>
      </c>
      <c r="C809" s="2">
        <v>46289</v>
      </c>
      <c r="D809" s="3">
        <v>0.84375</v>
      </c>
      <c r="E809">
        <v>123</v>
      </c>
      <c r="F809">
        <v>116</v>
      </c>
      <c r="G809">
        <v>5</v>
      </c>
      <c r="H809" s="1" t="s">
        <v>24</v>
      </c>
      <c r="I809">
        <v>15</v>
      </c>
      <c r="J809">
        <v>16</v>
      </c>
      <c r="K809" s="1" t="s">
        <v>25</v>
      </c>
      <c r="L809" s="1" t="s">
        <v>56</v>
      </c>
      <c r="M809">
        <v>0</v>
      </c>
      <c r="N809">
        <v>0</v>
      </c>
      <c r="O809" s="1" t="s">
        <v>27</v>
      </c>
      <c r="P809">
        <v>1</v>
      </c>
      <c r="Q809">
        <v>1</v>
      </c>
      <c r="R809">
        <v>4</v>
      </c>
      <c r="S809">
        <v>20</v>
      </c>
      <c r="T809">
        <v>0</v>
      </c>
      <c r="U809">
        <v>0</v>
      </c>
      <c r="V809">
        <v>8.1999999999999993</v>
      </c>
    </row>
    <row r="810" spans="1:22">
      <c r="A810" s="1" t="s">
        <v>856</v>
      </c>
      <c r="B810" s="1" t="s">
        <v>29</v>
      </c>
      <c r="C810" s="2">
        <v>46294</v>
      </c>
      <c r="D810" s="3">
        <v>0.33333333333333331</v>
      </c>
      <c r="E810">
        <v>96</v>
      </c>
      <c r="F810">
        <v>98</v>
      </c>
      <c r="G810">
        <v>4</v>
      </c>
      <c r="H810" s="1" t="s">
        <v>30</v>
      </c>
      <c r="I810">
        <v>32</v>
      </c>
      <c r="J810">
        <v>14</v>
      </c>
      <c r="K810" s="1" t="s">
        <v>31</v>
      </c>
      <c r="L810" s="1" t="s">
        <v>26</v>
      </c>
      <c r="M810">
        <v>0</v>
      </c>
      <c r="N810">
        <v>0</v>
      </c>
      <c r="O810" s="1" t="s">
        <v>27</v>
      </c>
      <c r="P810">
        <v>1</v>
      </c>
      <c r="Q810">
        <v>1</v>
      </c>
      <c r="R810">
        <v>4</v>
      </c>
      <c r="S810">
        <v>8</v>
      </c>
      <c r="T810">
        <v>1</v>
      </c>
      <c r="U810">
        <v>0</v>
      </c>
      <c r="V810">
        <v>3</v>
      </c>
    </row>
    <row r="811" spans="1:22">
      <c r="A811" s="1" t="s">
        <v>857</v>
      </c>
      <c r="B811" s="1" t="s">
        <v>45</v>
      </c>
      <c r="C811" s="2">
        <v>46280</v>
      </c>
      <c r="D811" s="3">
        <v>0.375</v>
      </c>
      <c r="E811">
        <v>154</v>
      </c>
      <c r="F811">
        <v>164</v>
      </c>
      <c r="G811">
        <v>5</v>
      </c>
      <c r="H811" s="1" t="s">
        <v>46</v>
      </c>
      <c r="I811">
        <v>18.5</v>
      </c>
      <c r="J811">
        <v>22</v>
      </c>
      <c r="K811" s="1" t="s">
        <v>47</v>
      </c>
      <c r="L811" s="1" t="s">
        <v>26</v>
      </c>
      <c r="M811">
        <v>0</v>
      </c>
      <c r="N811">
        <v>0</v>
      </c>
      <c r="O811" s="1" t="s">
        <v>27</v>
      </c>
      <c r="P811">
        <v>1</v>
      </c>
      <c r="Q811">
        <v>1</v>
      </c>
      <c r="R811">
        <v>0</v>
      </c>
      <c r="S811">
        <v>9</v>
      </c>
      <c r="T811">
        <v>1</v>
      </c>
      <c r="U811">
        <v>0</v>
      </c>
      <c r="V811">
        <v>8.32</v>
      </c>
    </row>
    <row r="812" spans="1:22">
      <c r="A812" s="1" t="s">
        <v>858</v>
      </c>
      <c r="B812" s="1" t="s">
        <v>45</v>
      </c>
      <c r="C812" s="2">
        <v>46290</v>
      </c>
      <c r="D812" s="3">
        <v>0.875</v>
      </c>
      <c r="E812">
        <v>68</v>
      </c>
      <c r="F812">
        <v>65</v>
      </c>
      <c r="G812">
        <v>3</v>
      </c>
      <c r="H812" s="1" t="s">
        <v>46</v>
      </c>
      <c r="I812">
        <v>18.5</v>
      </c>
      <c r="J812">
        <v>22</v>
      </c>
      <c r="K812" s="1" t="s">
        <v>47</v>
      </c>
      <c r="L812" s="1" t="s">
        <v>49</v>
      </c>
      <c r="M812">
        <v>0</v>
      </c>
      <c r="N812">
        <v>0</v>
      </c>
      <c r="O812" s="1" t="s">
        <v>27</v>
      </c>
      <c r="P812">
        <v>1</v>
      </c>
      <c r="Q812">
        <v>1</v>
      </c>
      <c r="R812">
        <v>16</v>
      </c>
      <c r="S812">
        <v>21</v>
      </c>
      <c r="T812">
        <v>0</v>
      </c>
      <c r="U812">
        <v>0</v>
      </c>
      <c r="V812">
        <v>3.68</v>
      </c>
    </row>
    <row r="813" spans="1:22">
      <c r="A813" s="1" t="s">
        <v>859</v>
      </c>
      <c r="B813" s="1" t="s">
        <v>45</v>
      </c>
      <c r="C813" s="2">
        <v>46274</v>
      </c>
      <c r="D813" s="3">
        <v>0.25</v>
      </c>
      <c r="E813">
        <v>76</v>
      </c>
      <c r="F813">
        <v>64</v>
      </c>
      <c r="G813">
        <v>5</v>
      </c>
      <c r="H813" s="1" t="s">
        <v>46</v>
      </c>
      <c r="I813">
        <v>18.5</v>
      </c>
      <c r="J813">
        <v>22</v>
      </c>
      <c r="K813" s="1" t="s">
        <v>47</v>
      </c>
      <c r="L813" s="1" t="s">
        <v>69</v>
      </c>
      <c r="M813">
        <v>0</v>
      </c>
      <c r="N813">
        <v>0</v>
      </c>
      <c r="O813" s="1" t="s">
        <v>27</v>
      </c>
      <c r="P813">
        <v>1</v>
      </c>
      <c r="Q813">
        <v>1</v>
      </c>
      <c r="R813">
        <v>11</v>
      </c>
      <c r="S813">
        <v>6</v>
      </c>
      <c r="T813">
        <v>0</v>
      </c>
      <c r="U813">
        <v>0</v>
      </c>
      <c r="V813">
        <v>4.1100000000000003</v>
      </c>
    </row>
    <row r="814" spans="1:22">
      <c r="A814" s="1" t="s">
        <v>860</v>
      </c>
      <c r="B814" s="1" t="s">
        <v>59</v>
      </c>
      <c r="C814" s="2">
        <v>46269</v>
      </c>
      <c r="D814" s="3">
        <v>0.30208333333333331</v>
      </c>
      <c r="E814">
        <v>63</v>
      </c>
      <c r="F814">
        <v>65</v>
      </c>
      <c r="G814">
        <v>3</v>
      </c>
      <c r="H814" s="1" t="s">
        <v>60</v>
      </c>
      <c r="I814">
        <v>24.8</v>
      </c>
      <c r="J814">
        <v>28</v>
      </c>
      <c r="K814" s="1" t="s">
        <v>61</v>
      </c>
      <c r="L814" s="1" t="s">
        <v>49</v>
      </c>
      <c r="M814">
        <v>0</v>
      </c>
      <c r="N814">
        <v>0</v>
      </c>
      <c r="O814" s="1" t="s">
        <v>27</v>
      </c>
      <c r="P814">
        <v>1</v>
      </c>
      <c r="Q814">
        <v>1</v>
      </c>
      <c r="R814">
        <v>25</v>
      </c>
      <c r="S814">
        <v>7</v>
      </c>
      <c r="T814">
        <v>0</v>
      </c>
      <c r="U814">
        <v>0</v>
      </c>
      <c r="V814">
        <v>2.54</v>
      </c>
    </row>
    <row r="815" spans="1:22">
      <c r="A815" s="1" t="s">
        <v>861</v>
      </c>
      <c r="B815" s="1" t="s">
        <v>34</v>
      </c>
      <c r="C815" s="2">
        <v>46279</v>
      </c>
      <c r="D815" s="3">
        <v>0.28125</v>
      </c>
      <c r="E815">
        <v>113</v>
      </c>
      <c r="F815">
        <v>111</v>
      </c>
      <c r="G815">
        <v>3</v>
      </c>
      <c r="H815" s="1" t="s">
        <v>35</v>
      </c>
      <c r="I815">
        <v>12.2</v>
      </c>
      <c r="J815">
        <v>18</v>
      </c>
      <c r="K815" s="1" t="s">
        <v>36</v>
      </c>
      <c r="L815" s="1" t="s">
        <v>65</v>
      </c>
      <c r="M815">
        <v>0</v>
      </c>
      <c r="N815">
        <v>0</v>
      </c>
      <c r="O815" s="1" t="s">
        <v>27</v>
      </c>
      <c r="P815">
        <v>1</v>
      </c>
      <c r="Q815">
        <v>1</v>
      </c>
      <c r="R815">
        <v>2</v>
      </c>
      <c r="S815">
        <v>6</v>
      </c>
      <c r="T815">
        <v>0</v>
      </c>
      <c r="U815">
        <v>0</v>
      </c>
      <c r="V815">
        <v>9.26</v>
      </c>
    </row>
    <row r="816" spans="1:22">
      <c r="A816" s="1" t="s">
        <v>862</v>
      </c>
      <c r="B816" s="1" t="s">
        <v>59</v>
      </c>
      <c r="C816" s="2">
        <v>46270</v>
      </c>
      <c r="D816" s="3">
        <v>0.72916666666666663</v>
      </c>
      <c r="E816">
        <v>59</v>
      </c>
      <c r="F816">
        <v>58</v>
      </c>
      <c r="G816">
        <v>4</v>
      </c>
      <c r="H816" s="1" t="s">
        <v>60</v>
      </c>
      <c r="I816">
        <v>24.8</v>
      </c>
      <c r="J816">
        <v>28</v>
      </c>
      <c r="K816" s="1" t="s">
        <v>61</v>
      </c>
      <c r="L816" s="1" t="s">
        <v>32</v>
      </c>
      <c r="M816">
        <v>1</v>
      </c>
      <c r="N816">
        <v>1</v>
      </c>
      <c r="O816" s="1" t="s">
        <v>27</v>
      </c>
      <c r="P816">
        <v>1</v>
      </c>
      <c r="Q816">
        <v>1</v>
      </c>
      <c r="R816">
        <v>1</v>
      </c>
      <c r="S816">
        <v>17</v>
      </c>
      <c r="T816">
        <v>1</v>
      </c>
      <c r="U816">
        <v>0</v>
      </c>
      <c r="V816">
        <v>2.38</v>
      </c>
    </row>
    <row r="817" spans="1:22">
      <c r="A817" s="1" t="s">
        <v>863</v>
      </c>
      <c r="B817" s="1" t="s">
        <v>45</v>
      </c>
      <c r="C817" s="2">
        <v>46267</v>
      </c>
      <c r="D817" s="3">
        <v>0.875</v>
      </c>
      <c r="E817">
        <v>70</v>
      </c>
      <c r="F817">
        <v>68</v>
      </c>
      <c r="G817">
        <v>5</v>
      </c>
      <c r="H817" s="1" t="s">
        <v>46</v>
      </c>
      <c r="I817">
        <v>18.5</v>
      </c>
      <c r="J817">
        <v>22</v>
      </c>
      <c r="K817" s="1" t="s">
        <v>47</v>
      </c>
      <c r="L817" s="1" t="s">
        <v>69</v>
      </c>
      <c r="M817">
        <v>0</v>
      </c>
      <c r="N817">
        <v>0</v>
      </c>
      <c r="O817" s="1" t="s">
        <v>27</v>
      </c>
      <c r="P817">
        <v>1</v>
      </c>
      <c r="Q817">
        <v>1</v>
      </c>
      <c r="R817">
        <v>7</v>
      </c>
      <c r="S817">
        <v>21</v>
      </c>
      <c r="T817">
        <v>0</v>
      </c>
      <c r="U817">
        <v>0</v>
      </c>
      <c r="V817">
        <v>3.78</v>
      </c>
    </row>
    <row r="818" spans="1:22">
      <c r="A818" s="1" t="s">
        <v>864</v>
      </c>
      <c r="B818" s="1" t="s">
        <v>29</v>
      </c>
      <c r="C818" s="2">
        <v>46276</v>
      </c>
      <c r="D818" s="3">
        <v>0.77083333333333337</v>
      </c>
      <c r="E818">
        <v>43</v>
      </c>
      <c r="F818">
        <v>38</v>
      </c>
      <c r="G818">
        <v>4</v>
      </c>
      <c r="H818" s="1" t="s">
        <v>30</v>
      </c>
      <c r="I818">
        <v>32</v>
      </c>
      <c r="J818">
        <v>14</v>
      </c>
      <c r="K818" s="1" t="s">
        <v>31</v>
      </c>
      <c r="L818" s="1" t="s">
        <v>49</v>
      </c>
      <c r="M818">
        <v>0</v>
      </c>
      <c r="N818">
        <v>0</v>
      </c>
      <c r="O818" s="1" t="s">
        <v>27</v>
      </c>
      <c r="P818">
        <v>1</v>
      </c>
      <c r="Q818">
        <v>1</v>
      </c>
      <c r="R818">
        <v>16</v>
      </c>
      <c r="S818">
        <v>18</v>
      </c>
      <c r="T818">
        <v>1</v>
      </c>
      <c r="U818">
        <v>0</v>
      </c>
      <c r="V818">
        <v>1.34</v>
      </c>
    </row>
    <row r="819" spans="1:22">
      <c r="A819" s="1" t="s">
        <v>865</v>
      </c>
      <c r="B819" s="1" t="s">
        <v>34</v>
      </c>
      <c r="C819" s="2">
        <v>46274</v>
      </c>
      <c r="D819" s="3">
        <v>0.66666666666666663</v>
      </c>
      <c r="E819">
        <v>112</v>
      </c>
      <c r="F819">
        <v>107</v>
      </c>
      <c r="G819">
        <v>4</v>
      </c>
      <c r="H819" s="1" t="s">
        <v>35</v>
      </c>
      <c r="I819">
        <v>12.2</v>
      </c>
      <c r="J819">
        <v>18</v>
      </c>
      <c r="K819" s="1" t="s">
        <v>36</v>
      </c>
      <c r="L819" s="1" t="s">
        <v>69</v>
      </c>
      <c r="M819">
        <v>0</v>
      </c>
      <c r="N819">
        <v>0</v>
      </c>
      <c r="O819" s="1" t="s">
        <v>27</v>
      </c>
      <c r="P819">
        <v>1</v>
      </c>
      <c r="Q819">
        <v>1</v>
      </c>
      <c r="R819">
        <v>0</v>
      </c>
      <c r="S819">
        <v>16</v>
      </c>
      <c r="T819">
        <v>0</v>
      </c>
      <c r="U819">
        <v>0</v>
      </c>
      <c r="V819">
        <v>9.18</v>
      </c>
    </row>
    <row r="820" spans="1:22">
      <c r="A820" s="1" t="s">
        <v>866</v>
      </c>
      <c r="B820" s="1" t="s">
        <v>34</v>
      </c>
      <c r="C820" s="2">
        <v>46289</v>
      </c>
      <c r="D820" s="3">
        <v>0.6875</v>
      </c>
      <c r="E820">
        <v>30</v>
      </c>
      <c r="F820">
        <v>26</v>
      </c>
      <c r="G820">
        <v>3</v>
      </c>
      <c r="H820" s="1" t="s">
        <v>35</v>
      </c>
      <c r="I820">
        <v>12.2</v>
      </c>
      <c r="J820">
        <v>18</v>
      </c>
      <c r="K820" s="1" t="s">
        <v>36</v>
      </c>
      <c r="L820" s="1" t="s">
        <v>56</v>
      </c>
      <c r="M820">
        <v>0</v>
      </c>
      <c r="N820">
        <v>0</v>
      </c>
      <c r="O820" s="1" t="s">
        <v>27</v>
      </c>
      <c r="P820">
        <v>1</v>
      </c>
      <c r="Q820">
        <v>1</v>
      </c>
      <c r="R820">
        <v>1</v>
      </c>
      <c r="S820">
        <v>16</v>
      </c>
      <c r="T820">
        <v>0</v>
      </c>
      <c r="U820">
        <v>0</v>
      </c>
      <c r="V820">
        <v>2.46</v>
      </c>
    </row>
    <row r="821" spans="1:22">
      <c r="A821" s="1" t="s">
        <v>867</v>
      </c>
      <c r="B821" s="1" t="s">
        <v>34</v>
      </c>
      <c r="C821" s="2">
        <v>46268</v>
      </c>
      <c r="D821" s="3">
        <v>0.48958333333333331</v>
      </c>
      <c r="E821">
        <v>66</v>
      </c>
      <c r="F821">
        <v>70</v>
      </c>
      <c r="G821">
        <v>4</v>
      </c>
      <c r="H821" s="1" t="s">
        <v>35</v>
      </c>
      <c r="I821">
        <v>12.2</v>
      </c>
      <c r="J821">
        <v>18</v>
      </c>
      <c r="K821" s="1" t="s">
        <v>36</v>
      </c>
      <c r="L821" s="1" t="s">
        <v>56</v>
      </c>
      <c r="M821">
        <v>0</v>
      </c>
      <c r="N821">
        <v>0</v>
      </c>
      <c r="O821" s="1" t="s">
        <v>27</v>
      </c>
      <c r="P821">
        <v>1</v>
      </c>
      <c r="Q821">
        <v>1</v>
      </c>
      <c r="R821">
        <v>7</v>
      </c>
      <c r="S821">
        <v>11</v>
      </c>
      <c r="T821">
        <v>0</v>
      </c>
      <c r="U821">
        <v>0</v>
      </c>
      <c r="V821">
        <v>5.41</v>
      </c>
    </row>
    <row r="822" spans="1:22">
      <c r="A822" s="1" t="s">
        <v>868</v>
      </c>
      <c r="B822" s="1" t="s">
        <v>23</v>
      </c>
      <c r="C822" s="2">
        <v>46292</v>
      </c>
      <c r="D822" s="3">
        <v>0.23958333333333334</v>
      </c>
      <c r="E822">
        <v>103</v>
      </c>
      <c r="F822">
        <v>103</v>
      </c>
      <c r="G822">
        <v>6</v>
      </c>
      <c r="H822" s="1" t="s">
        <v>24</v>
      </c>
      <c r="I822">
        <v>15</v>
      </c>
      <c r="J822">
        <v>16</v>
      </c>
      <c r="K822" s="1" t="s">
        <v>25</v>
      </c>
      <c r="L822" s="1" t="s">
        <v>38</v>
      </c>
      <c r="M822">
        <v>1</v>
      </c>
      <c r="N822">
        <v>0</v>
      </c>
      <c r="O822" s="1" t="s">
        <v>134</v>
      </c>
      <c r="P822">
        <v>1</v>
      </c>
      <c r="Q822">
        <v>1</v>
      </c>
      <c r="R822">
        <v>2</v>
      </c>
      <c r="S822">
        <v>5</v>
      </c>
      <c r="T822">
        <v>0</v>
      </c>
      <c r="U822">
        <v>1</v>
      </c>
      <c r="V822">
        <v>6.87</v>
      </c>
    </row>
    <row r="823" spans="1:22">
      <c r="A823" s="1" t="s">
        <v>869</v>
      </c>
      <c r="B823" s="1" t="s">
        <v>34</v>
      </c>
      <c r="C823" s="2">
        <v>46293</v>
      </c>
      <c r="D823" s="3">
        <v>0.29166666666666669</v>
      </c>
      <c r="E823">
        <v>109</v>
      </c>
      <c r="F823">
        <v>108</v>
      </c>
      <c r="G823">
        <v>5</v>
      </c>
      <c r="H823" s="1" t="s">
        <v>35</v>
      </c>
      <c r="I823">
        <v>12.2</v>
      </c>
      <c r="J823">
        <v>18</v>
      </c>
      <c r="K823" s="1" t="s">
        <v>36</v>
      </c>
      <c r="L823" s="1" t="s">
        <v>65</v>
      </c>
      <c r="M823">
        <v>0</v>
      </c>
      <c r="N823">
        <v>0</v>
      </c>
      <c r="O823" s="1" t="s">
        <v>27</v>
      </c>
      <c r="P823">
        <v>1</v>
      </c>
      <c r="Q823">
        <v>1</v>
      </c>
      <c r="R823">
        <v>4</v>
      </c>
      <c r="S823">
        <v>7</v>
      </c>
      <c r="T823">
        <v>0</v>
      </c>
      <c r="U823">
        <v>0</v>
      </c>
      <c r="V823">
        <v>8.93</v>
      </c>
    </row>
    <row r="824" spans="1:22">
      <c r="A824" s="1" t="s">
        <v>870</v>
      </c>
      <c r="B824" s="1" t="s">
        <v>59</v>
      </c>
      <c r="C824" s="2">
        <v>46294</v>
      </c>
      <c r="D824" s="3">
        <v>0.80208333333333337</v>
      </c>
      <c r="E824">
        <v>160</v>
      </c>
      <c r="F824">
        <v>156</v>
      </c>
      <c r="G824">
        <v>6</v>
      </c>
      <c r="H824" s="1" t="s">
        <v>60</v>
      </c>
      <c r="I824">
        <v>24.8</v>
      </c>
      <c r="J824">
        <v>28</v>
      </c>
      <c r="K824" s="1" t="s">
        <v>61</v>
      </c>
      <c r="L824" s="1" t="s">
        <v>26</v>
      </c>
      <c r="M824">
        <v>0</v>
      </c>
      <c r="N824">
        <v>0</v>
      </c>
      <c r="O824" s="1" t="s">
        <v>27</v>
      </c>
      <c r="P824">
        <v>1</v>
      </c>
      <c r="Q824">
        <v>1</v>
      </c>
      <c r="R824">
        <v>18</v>
      </c>
      <c r="S824">
        <v>19</v>
      </c>
      <c r="T824">
        <v>1</v>
      </c>
      <c r="U824">
        <v>0</v>
      </c>
      <c r="V824">
        <v>6.45</v>
      </c>
    </row>
    <row r="825" spans="1:22">
      <c r="A825" s="1" t="s">
        <v>871</v>
      </c>
      <c r="B825" s="1" t="s">
        <v>34</v>
      </c>
      <c r="C825" s="2">
        <v>46274</v>
      </c>
      <c r="D825" s="3">
        <v>0.65625</v>
      </c>
      <c r="E825">
        <v>153</v>
      </c>
      <c r="F825">
        <v>157</v>
      </c>
      <c r="G825">
        <v>5</v>
      </c>
      <c r="H825" s="1" t="s">
        <v>35</v>
      </c>
      <c r="I825">
        <v>12.2</v>
      </c>
      <c r="J825">
        <v>18</v>
      </c>
      <c r="K825" s="1" t="s">
        <v>36</v>
      </c>
      <c r="L825" s="1" t="s">
        <v>69</v>
      </c>
      <c r="M825">
        <v>0</v>
      </c>
      <c r="N825">
        <v>0</v>
      </c>
      <c r="O825" s="1" t="s">
        <v>27</v>
      </c>
      <c r="P825">
        <v>1</v>
      </c>
      <c r="Q825">
        <v>1</v>
      </c>
      <c r="R825">
        <v>14</v>
      </c>
      <c r="S825">
        <v>15</v>
      </c>
      <c r="T825">
        <v>0</v>
      </c>
      <c r="U825">
        <v>0</v>
      </c>
      <c r="V825">
        <v>12.54</v>
      </c>
    </row>
    <row r="826" spans="1:22">
      <c r="A826" s="1" t="s">
        <v>872</v>
      </c>
      <c r="B826" s="1" t="s">
        <v>29</v>
      </c>
      <c r="C826" s="2">
        <v>46268</v>
      </c>
      <c r="D826" s="3">
        <v>0.89583333333333337</v>
      </c>
      <c r="E826">
        <v>71</v>
      </c>
      <c r="F826">
        <v>67</v>
      </c>
      <c r="G826">
        <v>3</v>
      </c>
      <c r="H826" s="1" t="s">
        <v>30</v>
      </c>
      <c r="I826">
        <v>32</v>
      </c>
      <c r="J826">
        <v>14</v>
      </c>
      <c r="K826" s="1" t="s">
        <v>31</v>
      </c>
      <c r="L826" s="1" t="s">
        <v>56</v>
      </c>
      <c r="M826">
        <v>0</v>
      </c>
      <c r="N826">
        <v>0</v>
      </c>
      <c r="O826" s="1" t="s">
        <v>27</v>
      </c>
      <c r="P826">
        <v>1</v>
      </c>
      <c r="Q826">
        <v>1</v>
      </c>
      <c r="R826">
        <v>8</v>
      </c>
      <c r="S826">
        <v>21</v>
      </c>
      <c r="T826">
        <v>0</v>
      </c>
      <c r="U826">
        <v>0</v>
      </c>
      <c r="V826">
        <v>2.2200000000000002</v>
      </c>
    </row>
    <row r="827" spans="1:22">
      <c r="A827" s="1" t="s">
        <v>873</v>
      </c>
      <c r="B827" s="1" t="s">
        <v>29</v>
      </c>
      <c r="C827" s="2">
        <v>46290</v>
      </c>
      <c r="D827" s="3">
        <v>0.94791666666666663</v>
      </c>
      <c r="E827">
        <v>41</v>
      </c>
      <c r="F827">
        <v>51</v>
      </c>
      <c r="G827">
        <v>4</v>
      </c>
      <c r="H827" s="1" t="s">
        <v>30</v>
      </c>
      <c r="I827">
        <v>32</v>
      </c>
      <c r="J827">
        <v>14</v>
      </c>
      <c r="K827" s="1" t="s">
        <v>31</v>
      </c>
      <c r="L827" s="1" t="s">
        <v>49</v>
      </c>
      <c r="M827">
        <v>0</v>
      </c>
      <c r="N827">
        <v>0</v>
      </c>
      <c r="O827" s="1" t="s">
        <v>27</v>
      </c>
      <c r="P827">
        <v>1</v>
      </c>
      <c r="Q827">
        <v>1</v>
      </c>
      <c r="R827">
        <v>4</v>
      </c>
      <c r="S827">
        <v>22</v>
      </c>
      <c r="T827">
        <v>0</v>
      </c>
      <c r="U827">
        <v>0</v>
      </c>
      <c r="V827">
        <v>1.28</v>
      </c>
    </row>
    <row r="828" spans="1:22">
      <c r="A828" s="1" t="s">
        <v>874</v>
      </c>
      <c r="B828" s="1" t="s">
        <v>34</v>
      </c>
      <c r="C828" s="2">
        <v>46267</v>
      </c>
      <c r="D828" s="3">
        <v>0.39583333333333331</v>
      </c>
      <c r="E828">
        <v>82</v>
      </c>
      <c r="F828">
        <v>84</v>
      </c>
      <c r="G828">
        <v>5</v>
      </c>
      <c r="H828" s="1" t="s">
        <v>35</v>
      </c>
      <c r="I828">
        <v>12.2</v>
      </c>
      <c r="J828">
        <v>18</v>
      </c>
      <c r="K828" s="1" t="s">
        <v>36</v>
      </c>
      <c r="L828" s="1" t="s">
        <v>69</v>
      </c>
      <c r="M828">
        <v>0</v>
      </c>
      <c r="N828">
        <v>0</v>
      </c>
      <c r="O828" s="1" t="s">
        <v>27</v>
      </c>
      <c r="P828">
        <v>1</v>
      </c>
      <c r="Q828">
        <v>1</v>
      </c>
      <c r="R828">
        <v>10</v>
      </c>
      <c r="S828">
        <v>9</v>
      </c>
      <c r="T828">
        <v>1</v>
      </c>
      <c r="U828">
        <v>0</v>
      </c>
      <c r="V828">
        <v>6.72</v>
      </c>
    </row>
    <row r="829" spans="1:22">
      <c r="A829" s="1" t="s">
        <v>875</v>
      </c>
      <c r="B829" s="1" t="s">
        <v>29</v>
      </c>
      <c r="C829" s="2">
        <v>46277</v>
      </c>
      <c r="D829" s="3">
        <v>0.53125</v>
      </c>
      <c r="E829">
        <v>98</v>
      </c>
      <c r="F829">
        <v>91</v>
      </c>
      <c r="G829">
        <v>6</v>
      </c>
      <c r="H829" s="1" t="s">
        <v>30</v>
      </c>
      <c r="I829">
        <v>32</v>
      </c>
      <c r="J829">
        <v>14</v>
      </c>
      <c r="K829" s="1" t="s">
        <v>31</v>
      </c>
      <c r="L829" s="1" t="s">
        <v>32</v>
      </c>
      <c r="M829">
        <v>1</v>
      </c>
      <c r="N829">
        <v>0</v>
      </c>
      <c r="O829" s="1" t="s">
        <v>40</v>
      </c>
      <c r="P829">
        <v>1</v>
      </c>
      <c r="Q829">
        <v>1</v>
      </c>
      <c r="R829">
        <v>3</v>
      </c>
      <c r="S829">
        <v>12</v>
      </c>
      <c r="T829">
        <v>0</v>
      </c>
      <c r="U829">
        <v>1</v>
      </c>
      <c r="V829">
        <v>3.06</v>
      </c>
    </row>
    <row r="830" spans="1:22">
      <c r="A830" s="1" t="s">
        <v>876</v>
      </c>
      <c r="B830" s="1" t="s">
        <v>29</v>
      </c>
      <c r="C830" s="2">
        <v>46275</v>
      </c>
      <c r="D830" s="3">
        <v>0.375</v>
      </c>
      <c r="E830">
        <v>142</v>
      </c>
      <c r="F830">
        <v>137</v>
      </c>
      <c r="G830">
        <v>5</v>
      </c>
      <c r="H830" s="1" t="s">
        <v>30</v>
      </c>
      <c r="I830">
        <v>32</v>
      </c>
      <c r="J830">
        <v>14</v>
      </c>
      <c r="K830" s="1" t="s">
        <v>31</v>
      </c>
      <c r="L830" s="1" t="s">
        <v>56</v>
      </c>
      <c r="M830">
        <v>0</v>
      </c>
      <c r="N830">
        <v>0</v>
      </c>
      <c r="O830" s="1" t="s">
        <v>27</v>
      </c>
      <c r="P830">
        <v>1</v>
      </c>
      <c r="Q830">
        <v>1</v>
      </c>
      <c r="R830">
        <v>4</v>
      </c>
      <c r="S830">
        <v>9</v>
      </c>
      <c r="T830">
        <v>1</v>
      </c>
      <c r="U830">
        <v>0</v>
      </c>
      <c r="V830">
        <v>4.4400000000000004</v>
      </c>
    </row>
    <row r="831" spans="1:22">
      <c r="A831" s="1" t="s">
        <v>877</v>
      </c>
      <c r="B831" s="1" t="s">
        <v>29</v>
      </c>
      <c r="C831" s="2">
        <v>46274</v>
      </c>
      <c r="D831" s="3">
        <v>0.40625</v>
      </c>
      <c r="E831">
        <v>48</v>
      </c>
      <c r="F831">
        <v>48</v>
      </c>
      <c r="G831">
        <v>3</v>
      </c>
      <c r="H831" s="1" t="s">
        <v>30</v>
      </c>
      <c r="I831">
        <v>32</v>
      </c>
      <c r="J831">
        <v>14</v>
      </c>
      <c r="K831" s="1" t="s">
        <v>31</v>
      </c>
      <c r="L831" s="1" t="s">
        <v>69</v>
      </c>
      <c r="M831">
        <v>0</v>
      </c>
      <c r="N831">
        <v>0</v>
      </c>
      <c r="O831" s="1" t="s">
        <v>27</v>
      </c>
      <c r="P831">
        <v>1</v>
      </c>
      <c r="Q831">
        <v>1</v>
      </c>
      <c r="R831">
        <v>5</v>
      </c>
      <c r="S831">
        <v>9</v>
      </c>
      <c r="T831">
        <v>1</v>
      </c>
      <c r="U831">
        <v>0</v>
      </c>
      <c r="V831">
        <v>1.5</v>
      </c>
    </row>
    <row r="832" spans="1:22">
      <c r="A832" s="1" t="s">
        <v>878</v>
      </c>
      <c r="B832" s="1" t="s">
        <v>29</v>
      </c>
      <c r="C832" s="2">
        <v>46280</v>
      </c>
      <c r="D832" s="3">
        <v>0.27083333333333331</v>
      </c>
      <c r="E832">
        <v>74</v>
      </c>
      <c r="F832">
        <v>70</v>
      </c>
      <c r="G832">
        <v>3</v>
      </c>
      <c r="H832" s="1" t="s">
        <v>30</v>
      </c>
      <c r="I832">
        <v>32</v>
      </c>
      <c r="J832">
        <v>14</v>
      </c>
      <c r="K832" s="1" t="s">
        <v>31</v>
      </c>
      <c r="L832" s="1" t="s">
        <v>26</v>
      </c>
      <c r="M832">
        <v>0</v>
      </c>
      <c r="N832">
        <v>0</v>
      </c>
      <c r="O832" s="1" t="s">
        <v>27</v>
      </c>
      <c r="P832">
        <v>1</v>
      </c>
      <c r="Q832">
        <v>1</v>
      </c>
      <c r="R832">
        <v>0</v>
      </c>
      <c r="S832">
        <v>6</v>
      </c>
      <c r="T832">
        <v>0</v>
      </c>
      <c r="U832">
        <v>0</v>
      </c>
      <c r="V832">
        <v>2.31</v>
      </c>
    </row>
    <row r="833" spans="1:22">
      <c r="A833" s="1" t="s">
        <v>879</v>
      </c>
      <c r="B833" s="1" t="s">
        <v>45</v>
      </c>
      <c r="C833" s="2">
        <v>46273</v>
      </c>
      <c r="D833" s="3">
        <v>0.72916666666666663</v>
      </c>
      <c r="E833">
        <v>55</v>
      </c>
      <c r="F833">
        <v>55</v>
      </c>
      <c r="G833">
        <v>5</v>
      </c>
      <c r="H833" s="1" t="s">
        <v>46</v>
      </c>
      <c r="I833">
        <v>18.5</v>
      </c>
      <c r="J833">
        <v>22</v>
      </c>
      <c r="K833" s="1" t="s">
        <v>47</v>
      </c>
      <c r="L833" s="1" t="s">
        <v>26</v>
      </c>
      <c r="M833">
        <v>0</v>
      </c>
      <c r="N833">
        <v>0</v>
      </c>
      <c r="O833" s="1" t="s">
        <v>27</v>
      </c>
      <c r="P833">
        <v>1</v>
      </c>
      <c r="Q833">
        <v>1</v>
      </c>
      <c r="R833">
        <v>4</v>
      </c>
      <c r="S833">
        <v>17</v>
      </c>
      <c r="T833">
        <v>1</v>
      </c>
      <c r="U833">
        <v>0</v>
      </c>
      <c r="V833">
        <v>2.97</v>
      </c>
    </row>
    <row r="834" spans="1:22">
      <c r="A834" s="1" t="s">
        <v>880</v>
      </c>
      <c r="B834" s="1" t="s">
        <v>45</v>
      </c>
      <c r="C834" s="2">
        <v>46290</v>
      </c>
      <c r="D834" s="3">
        <v>0.67708333333333337</v>
      </c>
      <c r="E834">
        <v>103</v>
      </c>
      <c r="F834">
        <v>101</v>
      </c>
      <c r="G834">
        <v>4</v>
      </c>
      <c r="H834" s="1" t="s">
        <v>46</v>
      </c>
      <c r="I834">
        <v>18.5</v>
      </c>
      <c r="J834">
        <v>22</v>
      </c>
      <c r="K834" s="1" t="s">
        <v>47</v>
      </c>
      <c r="L834" s="1" t="s">
        <v>49</v>
      </c>
      <c r="M834">
        <v>0</v>
      </c>
      <c r="N834">
        <v>0</v>
      </c>
      <c r="O834" s="1" t="s">
        <v>27</v>
      </c>
      <c r="P834">
        <v>1</v>
      </c>
      <c r="Q834">
        <v>1</v>
      </c>
      <c r="R834">
        <v>5</v>
      </c>
      <c r="S834">
        <v>16</v>
      </c>
      <c r="T834">
        <v>0</v>
      </c>
      <c r="U834">
        <v>0</v>
      </c>
      <c r="V834">
        <v>5.57</v>
      </c>
    </row>
    <row r="835" spans="1:22">
      <c r="A835" s="1" t="s">
        <v>881</v>
      </c>
      <c r="B835" s="1" t="s">
        <v>23</v>
      </c>
      <c r="C835" s="2">
        <v>46270</v>
      </c>
      <c r="D835" s="3">
        <v>0.64583333333333337</v>
      </c>
      <c r="E835">
        <v>167</v>
      </c>
      <c r="F835">
        <v>169</v>
      </c>
      <c r="G835">
        <v>6</v>
      </c>
      <c r="H835" s="1" t="s">
        <v>24</v>
      </c>
      <c r="I835">
        <v>15</v>
      </c>
      <c r="J835">
        <v>16</v>
      </c>
      <c r="K835" s="1" t="s">
        <v>25</v>
      </c>
      <c r="L835" s="1" t="s">
        <v>32</v>
      </c>
      <c r="M835">
        <v>1</v>
      </c>
      <c r="N835">
        <v>1</v>
      </c>
      <c r="O835" s="1" t="s">
        <v>27</v>
      </c>
      <c r="P835">
        <v>1</v>
      </c>
      <c r="Q835">
        <v>1</v>
      </c>
      <c r="R835">
        <v>6</v>
      </c>
      <c r="S835">
        <v>15</v>
      </c>
      <c r="T835">
        <v>0</v>
      </c>
      <c r="U835">
        <v>0</v>
      </c>
      <c r="V835">
        <v>11.13</v>
      </c>
    </row>
    <row r="836" spans="1:22">
      <c r="A836" s="1" t="s">
        <v>882</v>
      </c>
      <c r="B836" s="1" t="s">
        <v>45</v>
      </c>
      <c r="C836" s="2">
        <v>46276</v>
      </c>
      <c r="D836" s="3">
        <v>0.375</v>
      </c>
      <c r="E836">
        <v>194</v>
      </c>
      <c r="F836">
        <v>186</v>
      </c>
      <c r="G836">
        <v>6</v>
      </c>
      <c r="H836" s="1" t="s">
        <v>46</v>
      </c>
      <c r="I836">
        <v>18.5</v>
      </c>
      <c r="J836">
        <v>22</v>
      </c>
      <c r="K836" s="1" t="s">
        <v>47</v>
      </c>
      <c r="L836" s="1" t="s">
        <v>49</v>
      </c>
      <c r="M836">
        <v>0</v>
      </c>
      <c r="N836">
        <v>0</v>
      </c>
      <c r="O836" s="1" t="s">
        <v>27</v>
      </c>
      <c r="P836">
        <v>1</v>
      </c>
      <c r="Q836">
        <v>1</v>
      </c>
      <c r="R836">
        <v>2</v>
      </c>
      <c r="S836">
        <v>9</v>
      </c>
      <c r="T836">
        <v>1</v>
      </c>
      <c r="U836">
        <v>0</v>
      </c>
      <c r="V836">
        <v>10.49</v>
      </c>
    </row>
    <row r="837" spans="1:22">
      <c r="A837" s="1" t="s">
        <v>883</v>
      </c>
      <c r="B837" s="1" t="s">
        <v>45</v>
      </c>
      <c r="C837" s="2">
        <v>46292</v>
      </c>
      <c r="D837" s="3">
        <v>0.55208333333333337</v>
      </c>
      <c r="E837">
        <v>106</v>
      </c>
      <c r="F837">
        <v>108</v>
      </c>
      <c r="G837">
        <v>4</v>
      </c>
      <c r="H837" s="1" t="s">
        <v>46</v>
      </c>
      <c r="I837">
        <v>18.5</v>
      </c>
      <c r="J837">
        <v>22</v>
      </c>
      <c r="K837" s="1" t="s">
        <v>47</v>
      </c>
      <c r="L837" s="1" t="s">
        <v>38</v>
      </c>
      <c r="M837">
        <v>1</v>
      </c>
      <c r="N837">
        <v>0</v>
      </c>
      <c r="O837" s="1" t="s">
        <v>134</v>
      </c>
      <c r="P837">
        <v>1</v>
      </c>
      <c r="Q837">
        <v>1</v>
      </c>
      <c r="R837">
        <v>0</v>
      </c>
      <c r="S837">
        <v>13</v>
      </c>
      <c r="T837">
        <v>0</v>
      </c>
      <c r="U837">
        <v>1</v>
      </c>
      <c r="V837">
        <v>5.73</v>
      </c>
    </row>
    <row r="838" spans="1:22">
      <c r="A838" s="1" t="s">
        <v>884</v>
      </c>
      <c r="B838" s="1" t="s">
        <v>59</v>
      </c>
      <c r="C838" s="2">
        <v>46267</v>
      </c>
      <c r="D838" s="3">
        <v>0.67708333333333337</v>
      </c>
      <c r="E838">
        <v>85</v>
      </c>
      <c r="F838">
        <v>79</v>
      </c>
      <c r="G838">
        <v>4</v>
      </c>
      <c r="H838" s="1" t="s">
        <v>60</v>
      </c>
      <c r="I838">
        <v>24.8</v>
      </c>
      <c r="J838">
        <v>28</v>
      </c>
      <c r="K838" s="1" t="s">
        <v>61</v>
      </c>
      <c r="L838" s="1" t="s">
        <v>69</v>
      </c>
      <c r="M838">
        <v>0</v>
      </c>
      <c r="N838">
        <v>0</v>
      </c>
      <c r="O838" s="1" t="s">
        <v>27</v>
      </c>
      <c r="P838">
        <v>1</v>
      </c>
      <c r="Q838">
        <v>1</v>
      </c>
      <c r="R838">
        <v>1</v>
      </c>
      <c r="S838">
        <v>16</v>
      </c>
      <c r="T838">
        <v>0</v>
      </c>
      <c r="U838">
        <v>0</v>
      </c>
      <c r="V838">
        <v>3.43</v>
      </c>
    </row>
    <row r="839" spans="1:22">
      <c r="A839" s="1" t="s">
        <v>885</v>
      </c>
      <c r="B839" s="1" t="s">
        <v>23</v>
      </c>
      <c r="C839" s="2">
        <v>46289</v>
      </c>
      <c r="D839" s="3">
        <v>0.89583333333333337</v>
      </c>
      <c r="E839">
        <v>75</v>
      </c>
      <c r="F839">
        <v>68</v>
      </c>
      <c r="G839">
        <v>4</v>
      </c>
      <c r="H839" s="1" t="s">
        <v>24</v>
      </c>
      <c r="I839">
        <v>15</v>
      </c>
      <c r="J839">
        <v>16</v>
      </c>
      <c r="K839" s="1" t="s">
        <v>25</v>
      </c>
      <c r="L839" s="1" t="s">
        <v>56</v>
      </c>
      <c r="M839">
        <v>0</v>
      </c>
      <c r="N839">
        <v>0</v>
      </c>
      <c r="O839" s="1" t="s">
        <v>27</v>
      </c>
      <c r="P839">
        <v>1</v>
      </c>
      <c r="Q839">
        <v>1</v>
      </c>
      <c r="R839">
        <v>2</v>
      </c>
      <c r="S839">
        <v>21</v>
      </c>
      <c r="T839">
        <v>0</v>
      </c>
      <c r="U839">
        <v>0</v>
      </c>
      <c r="V839">
        <v>5</v>
      </c>
    </row>
    <row r="840" spans="1:22">
      <c r="A840" s="1" t="s">
        <v>886</v>
      </c>
      <c r="B840" s="1" t="s">
        <v>23</v>
      </c>
      <c r="C840" s="2">
        <v>46293</v>
      </c>
      <c r="D840" s="3">
        <v>0.86458333333333337</v>
      </c>
      <c r="E840">
        <v>10</v>
      </c>
      <c r="F840">
        <v>5</v>
      </c>
      <c r="G840">
        <v>4</v>
      </c>
      <c r="H840" s="1" t="s">
        <v>24</v>
      </c>
      <c r="I840">
        <v>15</v>
      </c>
      <c r="J840">
        <v>16</v>
      </c>
      <c r="K840" s="1" t="s">
        <v>25</v>
      </c>
      <c r="L840" s="1" t="s">
        <v>65</v>
      </c>
      <c r="M840">
        <v>0</v>
      </c>
      <c r="N840">
        <v>0</v>
      </c>
      <c r="O840" s="1" t="s">
        <v>27</v>
      </c>
      <c r="P840">
        <v>1</v>
      </c>
      <c r="Q840">
        <v>1</v>
      </c>
      <c r="R840">
        <v>4</v>
      </c>
      <c r="S840">
        <v>20</v>
      </c>
      <c r="T840">
        <v>0</v>
      </c>
      <c r="U840">
        <v>0</v>
      </c>
      <c r="V840">
        <v>0.67</v>
      </c>
    </row>
    <row r="841" spans="1:22">
      <c r="A841" s="1" t="s">
        <v>887</v>
      </c>
      <c r="B841" s="1" t="s">
        <v>45</v>
      </c>
      <c r="C841" s="2">
        <v>46280</v>
      </c>
      <c r="D841" s="3">
        <v>0.69791666666666663</v>
      </c>
      <c r="E841">
        <v>70</v>
      </c>
      <c r="F841">
        <v>66</v>
      </c>
      <c r="G841">
        <v>7</v>
      </c>
      <c r="H841" s="1" t="s">
        <v>46</v>
      </c>
      <c r="I841">
        <v>18.5</v>
      </c>
      <c r="J841">
        <v>22</v>
      </c>
      <c r="K841" s="1" t="s">
        <v>47</v>
      </c>
      <c r="L841" s="1" t="s">
        <v>26</v>
      </c>
      <c r="M841">
        <v>0</v>
      </c>
      <c r="N841">
        <v>0</v>
      </c>
      <c r="O841" s="1" t="s">
        <v>27</v>
      </c>
      <c r="P841">
        <v>1</v>
      </c>
      <c r="Q841">
        <v>1</v>
      </c>
      <c r="R841">
        <v>31</v>
      </c>
      <c r="S841">
        <v>16</v>
      </c>
      <c r="T841">
        <v>0</v>
      </c>
      <c r="U841">
        <v>0</v>
      </c>
      <c r="V841">
        <v>3.78</v>
      </c>
    </row>
    <row r="842" spans="1:22">
      <c r="A842" s="1" t="s">
        <v>888</v>
      </c>
      <c r="B842" s="1" t="s">
        <v>34</v>
      </c>
      <c r="C842" s="2">
        <v>46271</v>
      </c>
      <c r="D842" s="3">
        <v>0.4375</v>
      </c>
      <c r="E842">
        <v>88</v>
      </c>
      <c r="F842">
        <v>87</v>
      </c>
      <c r="G842">
        <v>4</v>
      </c>
      <c r="H842" s="1" t="s">
        <v>35</v>
      </c>
      <c r="I842">
        <v>12.2</v>
      </c>
      <c r="J842">
        <v>18</v>
      </c>
      <c r="K842" s="1" t="s">
        <v>36</v>
      </c>
      <c r="L842" s="1" t="s">
        <v>38</v>
      </c>
      <c r="M842">
        <v>1</v>
      </c>
      <c r="N842">
        <v>0</v>
      </c>
      <c r="O842" s="1" t="s">
        <v>27</v>
      </c>
      <c r="P842">
        <v>1</v>
      </c>
      <c r="Q842">
        <v>1</v>
      </c>
      <c r="R842">
        <v>7</v>
      </c>
      <c r="S842">
        <v>10</v>
      </c>
      <c r="T842">
        <v>1</v>
      </c>
      <c r="U842">
        <v>0</v>
      </c>
      <c r="V842">
        <v>7.21</v>
      </c>
    </row>
    <row r="843" spans="1:22">
      <c r="A843" s="1" t="s">
        <v>889</v>
      </c>
      <c r="B843" s="1" t="s">
        <v>59</v>
      </c>
      <c r="C843" s="2">
        <v>46273</v>
      </c>
      <c r="D843" s="3">
        <v>0.34375</v>
      </c>
      <c r="E843">
        <v>80</v>
      </c>
      <c r="F843">
        <v>77</v>
      </c>
      <c r="G843">
        <v>3</v>
      </c>
      <c r="H843" s="1" t="s">
        <v>60</v>
      </c>
      <c r="I843">
        <v>24.8</v>
      </c>
      <c r="J843">
        <v>28</v>
      </c>
      <c r="K843" s="1" t="s">
        <v>61</v>
      </c>
      <c r="L843" s="1" t="s">
        <v>26</v>
      </c>
      <c r="M843">
        <v>0</v>
      </c>
      <c r="N843">
        <v>0</v>
      </c>
      <c r="O843" s="1" t="s">
        <v>27</v>
      </c>
      <c r="P843">
        <v>1</v>
      </c>
      <c r="Q843">
        <v>1</v>
      </c>
      <c r="R843">
        <v>2</v>
      </c>
      <c r="S843">
        <v>8</v>
      </c>
      <c r="T843">
        <v>1</v>
      </c>
      <c r="U843">
        <v>0</v>
      </c>
      <c r="V843">
        <v>3.23</v>
      </c>
    </row>
    <row r="844" spans="1:22">
      <c r="A844" s="1" t="s">
        <v>890</v>
      </c>
      <c r="B844" s="1" t="s">
        <v>59</v>
      </c>
      <c r="C844" s="2">
        <v>46292</v>
      </c>
      <c r="D844" s="3">
        <v>0.625</v>
      </c>
      <c r="E844">
        <v>86</v>
      </c>
      <c r="F844">
        <v>96</v>
      </c>
      <c r="G844">
        <v>4</v>
      </c>
      <c r="H844" s="1" t="s">
        <v>60</v>
      </c>
      <c r="I844">
        <v>24.8</v>
      </c>
      <c r="J844">
        <v>28</v>
      </c>
      <c r="K844" s="1" t="s">
        <v>61</v>
      </c>
      <c r="L844" s="1" t="s">
        <v>38</v>
      </c>
      <c r="M844">
        <v>1</v>
      </c>
      <c r="N844">
        <v>0</v>
      </c>
      <c r="O844" s="1" t="s">
        <v>134</v>
      </c>
      <c r="P844">
        <v>1</v>
      </c>
      <c r="Q844">
        <v>1</v>
      </c>
      <c r="R844">
        <v>1</v>
      </c>
      <c r="S844">
        <v>15</v>
      </c>
      <c r="T844">
        <v>0</v>
      </c>
      <c r="U844">
        <v>1</v>
      </c>
      <c r="V844">
        <v>3.47</v>
      </c>
    </row>
    <row r="845" spans="1:22">
      <c r="A845" s="1" t="s">
        <v>891</v>
      </c>
      <c r="B845" s="1" t="s">
        <v>29</v>
      </c>
      <c r="C845" s="2">
        <v>46270</v>
      </c>
      <c r="D845" s="3">
        <v>0.8125</v>
      </c>
      <c r="E845">
        <v>93</v>
      </c>
      <c r="F845">
        <v>88</v>
      </c>
      <c r="G845">
        <v>3</v>
      </c>
      <c r="H845" s="1" t="s">
        <v>30</v>
      </c>
      <c r="I845">
        <v>32</v>
      </c>
      <c r="J845">
        <v>14</v>
      </c>
      <c r="K845" s="1" t="s">
        <v>31</v>
      </c>
      <c r="L845" s="1" t="s">
        <v>32</v>
      </c>
      <c r="M845">
        <v>1</v>
      </c>
      <c r="N845">
        <v>1</v>
      </c>
      <c r="O845" s="1" t="s">
        <v>27</v>
      </c>
      <c r="P845">
        <v>1</v>
      </c>
      <c r="Q845">
        <v>1</v>
      </c>
      <c r="R845">
        <v>1</v>
      </c>
      <c r="S845">
        <v>19</v>
      </c>
      <c r="T845">
        <v>1</v>
      </c>
      <c r="U845">
        <v>0</v>
      </c>
      <c r="V845">
        <v>2.91</v>
      </c>
    </row>
    <row r="846" spans="1:22">
      <c r="A846" s="1" t="s">
        <v>892</v>
      </c>
      <c r="B846" s="1" t="s">
        <v>23</v>
      </c>
      <c r="C846" s="2">
        <v>46281</v>
      </c>
      <c r="D846" s="3">
        <v>0.65625</v>
      </c>
      <c r="E846">
        <v>96</v>
      </c>
      <c r="F846">
        <v>82</v>
      </c>
      <c r="G846">
        <v>3</v>
      </c>
      <c r="H846" s="1" t="s">
        <v>24</v>
      </c>
      <c r="I846">
        <v>15</v>
      </c>
      <c r="J846">
        <v>16</v>
      </c>
      <c r="K846" s="1" t="s">
        <v>25</v>
      </c>
      <c r="L846" s="1" t="s">
        <v>69</v>
      </c>
      <c r="M846">
        <v>0</v>
      </c>
      <c r="N846">
        <v>0</v>
      </c>
      <c r="O846" s="1" t="s">
        <v>27</v>
      </c>
      <c r="P846">
        <v>1</v>
      </c>
      <c r="Q846">
        <v>1</v>
      </c>
      <c r="R846">
        <v>2</v>
      </c>
      <c r="S846">
        <v>15</v>
      </c>
      <c r="T846">
        <v>0</v>
      </c>
      <c r="U846">
        <v>0</v>
      </c>
      <c r="V846">
        <v>6.4</v>
      </c>
    </row>
    <row r="847" spans="1:22">
      <c r="A847" s="1" t="s">
        <v>893</v>
      </c>
      <c r="B847" s="1" t="s">
        <v>45</v>
      </c>
      <c r="C847" s="2">
        <v>46291</v>
      </c>
      <c r="D847" s="3">
        <v>0.91666666666666663</v>
      </c>
      <c r="E847">
        <v>69</v>
      </c>
      <c r="F847">
        <v>63</v>
      </c>
      <c r="G847">
        <v>4</v>
      </c>
      <c r="H847" s="1" t="s">
        <v>46</v>
      </c>
      <c r="I847">
        <v>18.5</v>
      </c>
      <c r="J847">
        <v>22</v>
      </c>
      <c r="K847" s="1" t="s">
        <v>47</v>
      </c>
      <c r="L847" s="1" t="s">
        <v>32</v>
      </c>
      <c r="M847">
        <v>1</v>
      </c>
      <c r="N847">
        <v>0</v>
      </c>
      <c r="O847" s="1" t="s">
        <v>27</v>
      </c>
      <c r="P847">
        <v>1</v>
      </c>
      <c r="Q847">
        <v>1</v>
      </c>
      <c r="R847">
        <v>7</v>
      </c>
      <c r="S847">
        <v>22</v>
      </c>
      <c r="T847">
        <v>0</v>
      </c>
      <c r="U847">
        <v>0</v>
      </c>
      <c r="V847">
        <v>3.73</v>
      </c>
    </row>
    <row r="848" spans="1:22">
      <c r="A848" s="1" t="s">
        <v>894</v>
      </c>
      <c r="B848" s="1" t="s">
        <v>29</v>
      </c>
      <c r="C848" s="2">
        <v>46283</v>
      </c>
      <c r="D848" s="3">
        <v>0.77083333333333337</v>
      </c>
      <c r="E848">
        <v>148</v>
      </c>
      <c r="F848">
        <v>145</v>
      </c>
      <c r="G848">
        <v>7</v>
      </c>
      <c r="H848" s="1" t="s">
        <v>30</v>
      </c>
      <c r="I848">
        <v>32</v>
      </c>
      <c r="J848">
        <v>14</v>
      </c>
      <c r="K848" s="1" t="s">
        <v>31</v>
      </c>
      <c r="L848" s="1" t="s">
        <v>49</v>
      </c>
      <c r="M848">
        <v>0</v>
      </c>
      <c r="N848">
        <v>0</v>
      </c>
      <c r="O848" s="1" t="s">
        <v>27</v>
      </c>
      <c r="P848">
        <v>1</v>
      </c>
      <c r="Q848">
        <v>1</v>
      </c>
      <c r="R848">
        <v>4</v>
      </c>
      <c r="S848">
        <v>18</v>
      </c>
      <c r="T848">
        <v>1</v>
      </c>
      <c r="U848">
        <v>0</v>
      </c>
      <c r="V848">
        <v>4.62</v>
      </c>
    </row>
    <row r="849" spans="1:22">
      <c r="A849" s="1" t="s">
        <v>895</v>
      </c>
      <c r="B849" s="1" t="s">
        <v>29</v>
      </c>
      <c r="C849" s="2">
        <v>46271</v>
      </c>
      <c r="D849" s="3">
        <v>0.94791666666666663</v>
      </c>
      <c r="E849">
        <v>72</v>
      </c>
      <c r="F849">
        <v>64</v>
      </c>
      <c r="G849">
        <v>5</v>
      </c>
      <c r="H849" s="1" t="s">
        <v>30</v>
      </c>
      <c r="I849">
        <v>32</v>
      </c>
      <c r="J849">
        <v>14</v>
      </c>
      <c r="K849" s="1" t="s">
        <v>31</v>
      </c>
      <c r="L849" s="1" t="s">
        <v>38</v>
      </c>
      <c r="M849">
        <v>1</v>
      </c>
      <c r="N849">
        <v>0</v>
      </c>
      <c r="O849" s="1" t="s">
        <v>27</v>
      </c>
      <c r="P849">
        <v>1</v>
      </c>
      <c r="Q849">
        <v>1</v>
      </c>
      <c r="R849">
        <v>0</v>
      </c>
      <c r="S849">
        <v>22</v>
      </c>
      <c r="T849">
        <v>0</v>
      </c>
      <c r="U849">
        <v>0</v>
      </c>
      <c r="V849">
        <v>2.25</v>
      </c>
    </row>
    <row r="850" spans="1:22">
      <c r="A850" s="1" t="s">
        <v>896</v>
      </c>
      <c r="B850" s="1" t="s">
        <v>45</v>
      </c>
      <c r="C850" s="2">
        <v>46270</v>
      </c>
      <c r="D850" s="3">
        <v>0.8125</v>
      </c>
      <c r="E850">
        <v>103</v>
      </c>
      <c r="F850">
        <v>102</v>
      </c>
      <c r="G850">
        <v>5</v>
      </c>
      <c r="H850" s="1" t="s">
        <v>46</v>
      </c>
      <c r="I850">
        <v>18.5</v>
      </c>
      <c r="J850">
        <v>22</v>
      </c>
      <c r="K850" s="1" t="s">
        <v>47</v>
      </c>
      <c r="L850" s="1" t="s">
        <v>32</v>
      </c>
      <c r="M850">
        <v>1</v>
      </c>
      <c r="N850">
        <v>1</v>
      </c>
      <c r="O850" s="1" t="s">
        <v>27</v>
      </c>
      <c r="P850">
        <v>1</v>
      </c>
      <c r="Q850">
        <v>1</v>
      </c>
      <c r="R850">
        <v>5</v>
      </c>
      <c r="S850">
        <v>19</v>
      </c>
      <c r="T850">
        <v>1</v>
      </c>
      <c r="U850">
        <v>0</v>
      </c>
      <c r="V850">
        <v>5.57</v>
      </c>
    </row>
    <row r="851" spans="1:22">
      <c r="A851" s="1" t="s">
        <v>897</v>
      </c>
      <c r="B851" s="1" t="s">
        <v>59</v>
      </c>
      <c r="C851" s="2">
        <v>46293</v>
      </c>
      <c r="D851" s="3">
        <v>0.82291666666666663</v>
      </c>
      <c r="E851">
        <v>107</v>
      </c>
      <c r="F851">
        <v>102</v>
      </c>
      <c r="G851">
        <v>4</v>
      </c>
      <c r="H851" s="1" t="s">
        <v>60</v>
      </c>
      <c r="I851">
        <v>24.8</v>
      </c>
      <c r="J851">
        <v>28</v>
      </c>
      <c r="K851" s="1" t="s">
        <v>61</v>
      </c>
      <c r="L851" s="1" t="s">
        <v>65</v>
      </c>
      <c r="M851">
        <v>0</v>
      </c>
      <c r="N851">
        <v>0</v>
      </c>
      <c r="O851" s="1" t="s">
        <v>27</v>
      </c>
      <c r="P851">
        <v>1</v>
      </c>
      <c r="Q851">
        <v>1</v>
      </c>
      <c r="R851">
        <v>8</v>
      </c>
      <c r="S851">
        <v>19</v>
      </c>
      <c r="T851">
        <v>1</v>
      </c>
      <c r="U851">
        <v>0</v>
      </c>
      <c r="V851">
        <v>4.3099999999999996</v>
      </c>
    </row>
    <row r="852" spans="1:22">
      <c r="A852" s="1" t="s">
        <v>898</v>
      </c>
      <c r="B852" s="1" t="s">
        <v>29</v>
      </c>
      <c r="C852" s="2">
        <v>46281</v>
      </c>
      <c r="D852" s="3">
        <v>0.45833333333333331</v>
      </c>
      <c r="E852">
        <v>86</v>
      </c>
      <c r="F852">
        <v>83</v>
      </c>
      <c r="G852">
        <v>5</v>
      </c>
      <c r="H852" s="1" t="s">
        <v>30</v>
      </c>
      <c r="I852">
        <v>32</v>
      </c>
      <c r="J852">
        <v>14</v>
      </c>
      <c r="K852" s="1" t="s">
        <v>31</v>
      </c>
      <c r="L852" s="1" t="s">
        <v>69</v>
      </c>
      <c r="M852">
        <v>0</v>
      </c>
      <c r="N852">
        <v>0</v>
      </c>
      <c r="O852" s="1" t="s">
        <v>27</v>
      </c>
      <c r="P852">
        <v>1</v>
      </c>
      <c r="Q852">
        <v>1</v>
      </c>
      <c r="R852">
        <v>1</v>
      </c>
      <c r="S852">
        <v>11</v>
      </c>
      <c r="T852">
        <v>0</v>
      </c>
      <c r="U852">
        <v>0</v>
      </c>
      <c r="V852">
        <v>2.69</v>
      </c>
    </row>
    <row r="853" spans="1:22">
      <c r="A853" s="1" t="s">
        <v>899</v>
      </c>
      <c r="B853" s="1" t="s">
        <v>29</v>
      </c>
      <c r="C853" s="2">
        <v>46278</v>
      </c>
      <c r="D853" s="3">
        <v>0.32291666666666669</v>
      </c>
      <c r="E853">
        <v>88</v>
      </c>
      <c r="F853">
        <v>70</v>
      </c>
      <c r="G853">
        <v>6</v>
      </c>
      <c r="H853" s="1" t="s">
        <v>30</v>
      </c>
      <c r="I853">
        <v>32</v>
      </c>
      <c r="J853">
        <v>14</v>
      </c>
      <c r="K853" s="1" t="s">
        <v>31</v>
      </c>
      <c r="L853" s="1" t="s">
        <v>38</v>
      </c>
      <c r="M853">
        <v>1</v>
      </c>
      <c r="N853">
        <v>0</v>
      </c>
      <c r="O853" s="1" t="s">
        <v>27</v>
      </c>
      <c r="P853">
        <v>1</v>
      </c>
      <c r="Q853">
        <v>1</v>
      </c>
      <c r="R853">
        <v>3</v>
      </c>
      <c r="S853">
        <v>7</v>
      </c>
      <c r="T853">
        <v>0</v>
      </c>
      <c r="U853">
        <v>0</v>
      </c>
      <c r="V853">
        <v>2.75</v>
      </c>
    </row>
    <row r="854" spans="1:22">
      <c r="A854" s="1" t="s">
        <v>900</v>
      </c>
      <c r="B854" s="1" t="s">
        <v>34</v>
      </c>
      <c r="C854" s="2">
        <v>46293</v>
      </c>
      <c r="D854" s="3">
        <v>0.57291666666666663</v>
      </c>
      <c r="E854">
        <v>164</v>
      </c>
      <c r="F854">
        <v>168</v>
      </c>
      <c r="G854">
        <v>5</v>
      </c>
      <c r="H854" s="1" t="s">
        <v>35</v>
      </c>
      <c r="I854">
        <v>12.2</v>
      </c>
      <c r="J854">
        <v>18</v>
      </c>
      <c r="K854" s="1" t="s">
        <v>36</v>
      </c>
      <c r="L854" s="1" t="s">
        <v>65</v>
      </c>
      <c r="M854">
        <v>0</v>
      </c>
      <c r="N854">
        <v>0</v>
      </c>
      <c r="O854" s="1" t="s">
        <v>27</v>
      </c>
      <c r="P854">
        <v>1</v>
      </c>
      <c r="Q854">
        <v>1</v>
      </c>
      <c r="R854">
        <v>0</v>
      </c>
      <c r="S854">
        <v>13</v>
      </c>
      <c r="T854">
        <v>0</v>
      </c>
      <c r="U854">
        <v>0</v>
      </c>
      <c r="V854">
        <v>13.44</v>
      </c>
    </row>
    <row r="855" spans="1:22">
      <c r="A855" s="1" t="s">
        <v>901</v>
      </c>
      <c r="B855" s="1" t="s">
        <v>45</v>
      </c>
      <c r="C855" s="2">
        <v>46270</v>
      </c>
      <c r="D855" s="3">
        <v>0.70833333333333337</v>
      </c>
      <c r="E855">
        <v>124</v>
      </c>
      <c r="F855">
        <v>123</v>
      </c>
      <c r="G855">
        <v>3</v>
      </c>
      <c r="H855" s="1" t="s">
        <v>46</v>
      </c>
      <c r="I855">
        <v>18.5</v>
      </c>
      <c r="J855">
        <v>22</v>
      </c>
      <c r="K855" s="1" t="s">
        <v>47</v>
      </c>
      <c r="L855" s="1" t="s">
        <v>32</v>
      </c>
      <c r="M855">
        <v>1</v>
      </c>
      <c r="N855">
        <v>1</v>
      </c>
      <c r="O855" s="1" t="s">
        <v>27</v>
      </c>
      <c r="P855">
        <v>1</v>
      </c>
      <c r="Q855">
        <v>1</v>
      </c>
      <c r="R855">
        <v>4</v>
      </c>
      <c r="S855">
        <v>17</v>
      </c>
      <c r="T855">
        <v>1</v>
      </c>
      <c r="U855">
        <v>0</v>
      </c>
      <c r="V855">
        <v>6.7</v>
      </c>
    </row>
    <row r="856" spans="1:22">
      <c r="A856" s="1" t="s">
        <v>902</v>
      </c>
      <c r="B856" s="1" t="s">
        <v>29</v>
      </c>
      <c r="C856" s="2">
        <v>46278</v>
      </c>
      <c r="D856" s="3">
        <v>0.875</v>
      </c>
      <c r="E856">
        <v>62</v>
      </c>
      <c r="F856">
        <v>62</v>
      </c>
      <c r="G856">
        <v>3</v>
      </c>
      <c r="H856" s="1" t="s">
        <v>30</v>
      </c>
      <c r="I856">
        <v>32</v>
      </c>
      <c r="J856">
        <v>14</v>
      </c>
      <c r="K856" s="1" t="s">
        <v>31</v>
      </c>
      <c r="L856" s="1" t="s">
        <v>38</v>
      </c>
      <c r="M856">
        <v>1</v>
      </c>
      <c r="N856">
        <v>0</v>
      </c>
      <c r="O856" s="1" t="s">
        <v>27</v>
      </c>
      <c r="P856">
        <v>1</v>
      </c>
      <c r="Q856">
        <v>1</v>
      </c>
      <c r="R856">
        <v>7</v>
      </c>
      <c r="S856">
        <v>21</v>
      </c>
      <c r="T856">
        <v>0</v>
      </c>
      <c r="U856">
        <v>0</v>
      </c>
      <c r="V856">
        <v>1.94</v>
      </c>
    </row>
    <row r="857" spans="1:22">
      <c r="A857" s="1" t="s">
        <v>903</v>
      </c>
      <c r="B857" s="1" t="s">
        <v>29</v>
      </c>
      <c r="C857" s="2">
        <v>46282</v>
      </c>
      <c r="D857" s="3">
        <v>0.23958333333333334</v>
      </c>
      <c r="E857">
        <v>42</v>
      </c>
      <c r="F857">
        <v>39</v>
      </c>
      <c r="G857">
        <v>3</v>
      </c>
      <c r="H857" s="1" t="s">
        <v>30</v>
      </c>
      <c r="I857">
        <v>32</v>
      </c>
      <c r="J857">
        <v>14</v>
      </c>
      <c r="K857" s="1" t="s">
        <v>31</v>
      </c>
      <c r="L857" s="1" t="s">
        <v>56</v>
      </c>
      <c r="M857">
        <v>0</v>
      </c>
      <c r="N857">
        <v>0</v>
      </c>
      <c r="O857" s="1" t="s">
        <v>27</v>
      </c>
      <c r="P857">
        <v>1</v>
      </c>
      <c r="Q857">
        <v>1</v>
      </c>
      <c r="R857">
        <v>4</v>
      </c>
      <c r="S857">
        <v>5</v>
      </c>
      <c r="T857">
        <v>0</v>
      </c>
      <c r="U857">
        <v>0</v>
      </c>
      <c r="V857">
        <v>1.31</v>
      </c>
    </row>
    <row r="858" spans="1:22">
      <c r="A858" s="1" t="s">
        <v>904</v>
      </c>
      <c r="B858" s="1" t="s">
        <v>45</v>
      </c>
      <c r="C858" s="2">
        <v>46283</v>
      </c>
      <c r="D858" s="3">
        <v>0.52083333333333337</v>
      </c>
      <c r="E858">
        <v>119</v>
      </c>
      <c r="F858">
        <v>114</v>
      </c>
      <c r="G858">
        <v>6</v>
      </c>
      <c r="H858" s="1" t="s">
        <v>46</v>
      </c>
      <c r="I858">
        <v>18.5</v>
      </c>
      <c r="J858">
        <v>22</v>
      </c>
      <c r="K858" s="1" t="s">
        <v>47</v>
      </c>
      <c r="L858" s="1" t="s">
        <v>49</v>
      </c>
      <c r="M858">
        <v>0</v>
      </c>
      <c r="N858">
        <v>0</v>
      </c>
      <c r="O858" s="1" t="s">
        <v>27</v>
      </c>
      <c r="P858">
        <v>1</v>
      </c>
      <c r="Q858">
        <v>1</v>
      </c>
      <c r="R858">
        <v>3</v>
      </c>
      <c r="S858">
        <v>12</v>
      </c>
      <c r="T858">
        <v>0</v>
      </c>
      <c r="U858">
        <v>0</v>
      </c>
      <c r="V858">
        <v>6.43</v>
      </c>
    </row>
    <row r="859" spans="1:22">
      <c r="A859" s="1" t="s">
        <v>905</v>
      </c>
      <c r="B859" s="1" t="s">
        <v>45</v>
      </c>
      <c r="C859" s="2">
        <v>46273</v>
      </c>
      <c r="D859" s="3">
        <v>0.4375</v>
      </c>
      <c r="E859">
        <v>117</v>
      </c>
      <c r="F859">
        <v>108</v>
      </c>
      <c r="G859">
        <v>6</v>
      </c>
      <c r="H859" s="1" t="s">
        <v>46</v>
      </c>
      <c r="I859">
        <v>18.5</v>
      </c>
      <c r="J859">
        <v>22</v>
      </c>
      <c r="K859" s="1" t="s">
        <v>47</v>
      </c>
      <c r="L859" s="1" t="s">
        <v>26</v>
      </c>
      <c r="M859">
        <v>0</v>
      </c>
      <c r="N859">
        <v>0</v>
      </c>
      <c r="O859" s="1" t="s">
        <v>27</v>
      </c>
      <c r="P859">
        <v>1</v>
      </c>
      <c r="Q859">
        <v>1</v>
      </c>
      <c r="R859">
        <v>10</v>
      </c>
      <c r="S859">
        <v>10</v>
      </c>
      <c r="T859">
        <v>1</v>
      </c>
      <c r="U859">
        <v>0</v>
      </c>
      <c r="V859">
        <v>6.32</v>
      </c>
    </row>
    <row r="860" spans="1:22">
      <c r="A860" s="1" t="s">
        <v>906</v>
      </c>
      <c r="B860" s="1" t="s">
        <v>29</v>
      </c>
      <c r="C860" s="2">
        <v>46278</v>
      </c>
      <c r="D860" s="3">
        <v>0.375</v>
      </c>
      <c r="E860">
        <v>106</v>
      </c>
      <c r="F860">
        <v>107</v>
      </c>
      <c r="G860">
        <v>6</v>
      </c>
      <c r="H860" s="1" t="s">
        <v>30</v>
      </c>
      <c r="I860">
        <v>32</v>
      </c>
      <c r="J860">
        <v>14</v>
      </c>
      <c r="K860" s="1" t="s">
        <v>31</v>
      </c>
      <c r="L860" s="1" t="s">
        <v>38</v>
      </c>
      <c r="M860">
        <v>1</v>
      </c>
      <c r="N860">
        <v>0</v>
      </c>
      <c r="O860" s="1" t="s">
        <v>27</v>
      </c>
      <c r="P860">
        <v>1</v>
      </c>
      <c r="Q860">
        <v>1</v>
      </c>
      <c r="R860">
        <v>0</v>
      </c>
      <c r="S860">
        <v>9</v>
      </c>
      <c r="T860">
        <v>1</v>
      </c>
      <c r="U860">
        <v>0</v>
      </c>
      <c r="V860">
        <v>3.31</v>
      </c>
    </row>
    <row r="861" spans="1:22">
      <c r="A861" s="1" t="s">
        <v>907</v>
      </c>
      <c r="B861" s="1" t="s">
        <v>45</v>
      </c>
      <c r="C861" s="2">
        <v>46295</v>
      </c>
      <c r="D861" s="3">
        <v>0.80208333333333337</v>
      </c>
      <c r="E861">
        <v>112</v>
      </c>
      <c r="F861">
        <v>101</v>
      </c>
      <c r="G861">
        <v>5</v>
      </c>
      <c r="H861" s="1" t="s">
        <v>46</v>
      </c>
      <c r="I861">
        <v>18.5</v>
      </c>
      <c r="J861">
        <v>22</v>
      </c>
      <c r="K861" s="1" t="s">
        <v>47</v>
      </c>
      <c r="L861" s="1" t="s">
        <v>69</v>
      </c>
      <c r="M861">
        <v>0</v>
      </c>
      <c r="N861">
        <v>0</v>
      </c>
      <c r="O861" s="1" t="s">
        <v>27</v>
      </c>
      <c r="P861">
        <v>1</v>
      </c>
      <c r="Q861">
        <v>1</v>
      </c>
      <c r="R861">
        <v>0</v>
      </c>
      <c r="S861">
        <v>19</v>
      </c>
      <c r="T861">
        <v>1</v>
      </c>
      <c r="U861">
        <v>0</v>
      </c>
      <c r="V861">
        <v>6.05</v>
      </c>
    </row>
    <row r="862" spans="1:22">
      <c r="A862" s="1" t="s">
        <v>908</v>
      </c>
      <c r="B862" s="1" t="s">
        <v>29</v>
      </c>
      <c r="C862" s="2">
        <v>46294</v>
      </c>
      <c r="D862" s="3">
        <v>0.84375</v>
      </c>
      <c r="E862">
        <v>33</v>
      </c>
      <c r="F862">
        <v>25</v>
      </c>
      <c r="G862">
        <v>3</v>
      </c>
      <c r="H862" s="1" t="s">
        <v>30</v>
      </c>
      <c r="I862">
        <v>32</v>
      </c>
      <c r="J862">
        <v>14</v>
      </c>
      <c r="K862" s="1" t="s">
        <v>31</v>
      </c>
      <c r="L862" s="1" t="s">
        <v>26</v>
      </c>
      <c r="M862">
        <v>0</v>
      </c>
      <c r="N862">
        <v>0</v>
      </c>
      <c r="O862" s="1" t="s">
        <v>27</v>
      </c>
      <c r="P862">
        <v>1</v>
      </c>
      <c r="Q862">
        <v>1</v>
      </c>
      <c r="R862">
        <v>2</v>
      </c>
      <c r="S862">
        <v>20</v>
      </c>
      <c r="T862">
        <v>0</v>
      </c>
      <c r="U862">
        <v>0</v>
      </c>
      <c r="V862">
        <v>1.03</v>
      </c>
    </row>
    <row r="863" spans="1:22">
      <c r="A863" s="1" t="s">
        <v>909</v>
      </c>
      <c r="B863" s="1" t="s">
        <v>29</v>
      </c>
      <c r="C863" s="2">
        <v>46284</v>
      </c>
      <c r="D863" s="3">
        <v>0.64583333333333337</v>
      </c>
      <c r="E863">
        <v>203</v>
      </c>
      <c r="F863">
        <v>204</v>
      </c>
      <c r="G863">
        <v>7</v>
      </c>
      <c r="H863" s="1" t="s">
        <v>30</v>
      </c>
      <c r="I863">
        <v>32</v>
      </c>
      <c r="J863">
        <v>14</v>
      </c>
      <c r="K863" s="1" t="s">
        <v>31</v>
      </c>
      <c r="L863" s="1" t="s">
        <v>32</v>
      </c>
      <c r="M863">
        <v>1</v>
      </c>
      <c r="N863">
        <v>1</v>
      </c>
      <c r="O863" s="1" t="s">
        <v>27</v>
      </c>
      <c r="P863">
        <v>1</v>
      </c>
      <c r="Q863">
        <v>1</v>
      </c>
      <c r="R863">
        <v>2</v>
      </c>
      <c r="S863">
        <v>15</v>
      </c>
      <c r="T863">
        <v>0</v>
      </c>
      <c r="U863">
        <v>0</v>
      </c>
      <c r="V863">
        <v>6.34</v>
      </c>
    </row>
    <row r="864" spans="1:22">
      <c r="A864" s="1" t="s">
        <v>910</v>
      </c>
      <c r="B864" s="1" t="s">
        <v>34</v>
      </c>
      <c r="C864" s="2">
        <v>46291</v>
      </c>
      <c r="D864" s="3">
        <v>0.59375</v>
      </c>
      <c r="E864">
        <v>93</v>
      </c>
      <c r="F864">
        <v>97</v>
      </c>
      <c r="G864">
        <v>4</v>
      </c>
      <c r="H864" s="1" t="s">
        <v>35</v>
      </c>
      <c r="I864">
        <v>12.2</v>
      </c>
      <c r="J864">
        <v>18</v>
      </c>
      <c r="K864" s="1" t="s">
        <v>36</v>
      </c>
      <c r="L864" s="1" t="s">
        <v>32</v>
      </c>
      <c r="M864">
        <v>1</v>
      </c>
      <c r="N864">
        <v>0</v>
      </c>
      <c r="O864" s="1" t="s">
        <v>27</v>
      </c>
      <c r="P864">
        <v>1</v>
      </c>
      <c r="Q864">
        <v>1</v>
      </c>
      <c r="R864">
        <v>8</v>
      </c>
      <c r="S864">
        <v>14</v>
      </c>
      <c r="T864">
        <v>0</v>
      </c>
      <c r="U864">
        <v>0</v>
      </c>
      <c r="V864">
        <v>7.62</v>
      </c>
    </row>
    <row r="865" spans="1:22">
      <c r="A865" s="1" t="s">
        <v>911</v>
      </c>
      <c r="B865" s="1" t="s">
        <v>45</v>
      </c>
      <c r="C865" s="2">
        <v>46268</v>
      </c>
      <c r="D865" s="3">
        <v>0.86458333333333337</v>
      </c>
      <c r="E865">
        <v>50</v>
      </c>
      <c r="F865">
        <v>48</v>
      </c>
      <c r="G865">
        <v>3</v>
      </c>
      <c r="H865" s="1" t="s">
        <v>46</v>
      </c>
      <c r="I865">
        <v>18.5</v>
      </c>
      <c r="J865">
        <v>22</v>
      </c>
      <c r="K865" s="1" t="s">
        <v>47</v>
      </c>
      <c r="L865" s="1" t="s">
        <v>56</v>
      </c>
      <c r="M865">
        <v>0</v>
      </c>
      <c r="N865">
        <v>0</v>
      </c>
      <c r="O865" s="1" t="s">
        <v>27</v>
      </c>
      <c r="P865">
        <v>1</v>
      </c>
      <c r="Q865">
        <v>1</v>
      </c>
      <c r="R865">
        <v>4</v>
      </c>
      <c r="S865">
        <v>20</v>
      </c>
      <c r="T865">
        <v>0</v>
      </c>
      <c r="U865">
        <v>0</v>
      </c>
      <c r="V865">
        <v>2.7</v>
      </c>
    </row>
    <row r="866" spans="1:22">
      <c r="A866" s="1" t="s">
        <v>912</v>
      </c>
      <c r="B866" s="1" t="s">
        <v>29</v>
      </c>
      <c r="C866" s="2">
        <v>46289</v>
      </c>
      <c r="D866" s="3">
        <v>0.25</v>
      </c>
      <c r="E866">
        <v>187</v>
      </c>
      <c r="F866">
        <v>178</v>
      </c>
      <c r="G866">
        <v>6</v>
      </c>
      <c r="H866" s="1" t="s">
        <v>30</v>
      </c>
      <c r="I866">
        <v>32</v>
      </c>
      <c r="J866">
        <v>14</v>
      </c>
      <c r="K866" s="1" t="s">
        <v>31</v>
      </c>
      <c r="L866" s="1" t="s">
        <v>56</v>
      </c>
      <c r="M866">
        <v>0</v>
      </c>
      <c r="N866">
        <v>0</v>
      </c>
      <c r="O866" s="1" t="s">
        <v>27</v>
      </c>
      <c r="P866">
        <v>1</v>
      </c>
      <c r="Q866">
        <v>1</v>
      </c>
      <c r="R866">
        <v>4</v>
      </c>
      <c r="S866">
        <v>6</v>
      </c>
      <c r="T866">
        <v>0</v>
      </c>
      <c r="U866">
        <v>0</v>
      </c>
      <c r="V866">
        <v>5.84</v>
      </c>
    </row>
    <row r="867" spans="1:22">
      <c r="A867" s="1" t="s">
        <v>913</v>
      </c>
      <c r="B867" s="1" t="s">
        <v>29</v>
      </c>
      <c r="C867" s="2">
        <v>46273</v>
      </c>
      <c r="D867" s="3">
        <v>0.32291666666666669</v>
      </c>
      <c r="E867">
        <v>58</v>
      </c>
      <c r="F867">
        <v>67</v>
      </c>
      <c r="G867">
        <v>6</v>
      </c>
      <c r="H867" s="1" t="s">
        <v>30</v>
      </c>
      <c r="I867">
        <v>32</v>
      </c>
      <c r="J867">
        <v>14</v>
      </c>
      <c r="K867" s="1" t="s">
        <v>31</v>
      </c>
      <c r="L867" s="1" t="s">
        <v>26</v>
      </c>
      <c r="M867">
        <v>0</v>
      </c>
      <c r="N867">
        <v>0</v>
      </c>
      <c r="O867" s="1" t="s">
        <v>27</v>
      </c>
      <c r="P867">
        <v>1</v>
      </c>
      <c r="Q867">
        <v>1</v>
      </c>
      <c r="R867">
        <v>4</v>
      </c>
      <c r="S867">
        <v>7</v>
      </c>
      <c r="T867">
        <v>0</v>
      </c>
      <c r="U867">
        <v>0</v>
      </c>
      <c r="V867">
        <v>1.81</v>
      </c>
    </row>
    <row r="868" spans="1:22">
      <c r="A868" s="1" t="s">
        <v>914</v>
      </c>
      <c r="B868" s="1" t="s">
        <v>59</v>
      </c>
      <c r="C868" s="2">
        <v>46267</v>
      </c>
      <c r="D868" s="3">
        <v>0.8125</v>
      </c>
      <c r="E868">
        <v>150</v>
      </c>
      <c r="F868">
        <v>140</v>
      </c>
      <c r="G868">
        <v>6</v>
      </c>
      <c r="H868" s="1" t="s">
        <v>60</v>
      </c>
      <c r="I868">
        <v>24.8</v>
      </c>
      <c r="J868">
        <v>28</v>
      </c>
      <c r="K868" s="1" t="s">
        <v>61</v>
      </c>
      <c r="L868" s="1" t="s">
        <v>69</v>
      </c>
      <c r="M868">
        <v>0</v>
      </c>
      <c r="N868">
        <v>0</v>
      </c>
      <c r="O868" s="1" t="s">
        <v>27</v>
      </c>
      <c r="P868">
        <v>1</v>
      </c>
      <c r="Q868">
        <v>1</v>
      </c>
      <c r="R868">
        <v>4</v>
      </c>
      <c r="S868">
        <v>19</v>
      </c>
      <c r="T868">
        <v>1</v>
      </c>
      <c r="U868">
        <v>0</v>
      </c>
      <c r="V868">
        <v>6.05</v>
      </c>
    </row>
    <row r="869" spans="1:22">
      <c r="A869" s="1" t="s">
        <v>915</v>
      </c>
      <c r="B869" s="1" t="s">
        <v>23</v>
      </c>
      <c r="C869" s="2">
        <v>46273</v>
      </c>
      <c r="D869" s="3">
        <v>0.94791666666666663</v>
      </c>
      <c r="E869">
        <v>61</v>
      </c>
      <c r="F869">
        <v>59</v>
      </c>
      <c r="G869">
        <v>4</v>
      </c>
      <c r="H869" s="1" t="s">
        <v>24</v>
      </c>
      <c r="I869">
        <v>15</v>
      </c>
      <c r="J869">
        <v>16</v>
      </c>
      <c r="K869" s="1" t="s">
        <v>25</v>
      </c>
      <c r="L869" s="1" t="s">
        <v>26</v>
      </c>
      <c r="M869">
        <v>0</v>
      </c>
      <c r="N869">
        <v>0</v>
      </c>
      <c r="O869" s="1" t="s">
        <v>27</v>
      </c>
      <c r="P869">
        <v>1</v>
      </c>
      <c r="Q869">
        <v>1</v>
      </c>
      <c r="R869">
        <v>8</v>
      </c>
      <c r="S869">
        <v>22</v>
      </c>
      <c r="T869">
        <v>0</v>
      </c>
      <c r="U869">
        <v>0</v>
      </c>
      <c r="V869">
        <v>4.07</v>
      </c>
    </row>
    <row r="870" spans="1:22">
      <c r="A870" s="1" t="s">
        <v>916</v>
      </c>
      <c r="B870" s="1" t="s">
        <v>45</v>
      </c>
      <c r="C870" s="2">
        <v>46292</v>
      </c>
      <c r="D870" s="3">
        <v>0.90625</v>
      </c>
      <c r="E870">
        <v>64</v>
      </c>
      <c r="F870">
        <v>70</v>
      </c>
      <c r="G870">
        <v>5</v>
      </c>
      <c r="H870" s="1" t="s">
        <v>46</v>
      </c>
      <c r="I870">
        <v>18.5</v>
      </c>
      <c r="J870">
        <v>22</v>
      </c>
      <c r="K870" s="1" t="s">
        <v>47</v>
      </c>
      <c r="L870" s="1" t="s">
        <v>38</v>
      </c>
      <c r="M870">
        <v>1</v>
      </c>
      <c r="N870">
        <v>0</v>
      </c>
      <c r="O870" s="1" t="s">
        <v>134</v>
      </c>
      <c r="P870">
        <v>1</v>
      </c>
      <c r="Q870">
        <v>1</v>
      </c>
      <c r="R870">
        <v>0</v>
      </c>
      <c r="S870">
        <v>21</v>
      </c>
      <c r="T870">
        <v>0</v>
      </c>
      <c r="U870">
        <v>1</v>
      </c>
      <c r="V870">
        <v>3.46</v>
      </c>
    </row>
    <row r="871" spans="1:22">
      <c r="A871" s="1" t="s">
        <v>917</v>
      </c>
      <c r="B871" s="1" t="s">
        <v>45</v>
      </c>
      <c r="C871" s="2">
        <v>46278</v>
      </c>
      <c r="D871" s="3">
        <v>0.46875</v>
      </c>
      <c r="E871">
        <v>102</v>
      </c>
      <c r="F871">
        <v>107</v>
      </c>
      <c r="G871">
        <v>6</v>
      </c>
      <c r="H871" s="1" t="s">
        <v>46</v>
      </c>
      <c r="I871">
        <v>18.5</v>
      </c>
      <c r="J871">
        <v>22</v>
      </c>
      <c r="K871" s="1" t="s">
        <v>47</v>
      </c>
      <c r="L871" s="1" t="s">
        <v>38</v>
      </c>
      <c r="M871">
        <v>1</v>
      </c>
      <c r="N871">
        <v>0</v>
      </c>
      <c r="O871" s="1" t="s">
        <v>27</v>
      </c>
      <c r="P871">
        <v>1</v>
      </c>
      <c r="Q871">
        <v>1</v>
      </c>
      <c r="R871">
        <v>1</v>
      </c>
      <c r="S871">
        <v>11</v>
      </c>
      <c r="T871">
        <v>0</v>
      </c>
      <c r="U871">
        <v>0</v>
      </c>
      <c r="V871">
        <v>5.51</v>
      </c>
    </row>
    <row r="872" spans="1:22">
      <c r="A872" s="1" t="s">
        <v>918</v>
      </c>
      <c r="B872" s="1" t="s">
        <v>45</v>
      </c>
      <c r="C872" s="2">
        <v>46278</v>
      </c>
      <c r="D872" s="3">
        <v>0.47916666666666669</v>
      </c>
      <c r="E872">
        <v>61</v>
      </c>
      <c r="F872">
        <v>59</v>
      </c>
      <c r="G872">
        <v>3</v>
      </c>
      <c r="H872" s="1" t="s">
        <v>46</v>
      </c>
      <c r="I872">
        <v>18.5</v>
      </c>
      <c r="J872">
        <v>22</v>
      </c>
      <c r="K872" s="1" t="s">
        <v>47</v>
      </c>
      <c r="L872" s="1" t="s">
        <v>38</v>
      </c>
      <c r="M872">
        <v>1</v>
      </c>
      <c r="N872">
        <v>0</v>
      </c>
      <c r="O872" s="1" t="s">
        <v>27</v>
      </c>
      <c r="P872">
        <v>1</v>
      </c>
      <c r="Q872">
        <v>1</v>
      </c>
      <c r="R872">
        <v>11</v>
      </c>
      <c r="S872">
        <v>11</v>
      </c>
      <c r="T872">
        <v>0</v>
      </c>
      <c r="U872">
        <v>0</v>
      </c>
      <c r="V872">
        <v>3.3</v>
      </c>
    </row>
    <row r="873" spans="1:22">
      <c r="A873" s="1" t="s">
        <v>919</v>
      </c>
      <c r="B873" s="1" t="s">
        <v>34</v>
      </c>
      <c r="C873" s="2">
        <v>46266</v>
      </c>
      <c r="D873" s="3">
        <v>0.23958333333333334</v>
      </c>
      <c r="E873">
        <v>117</v>
      </c>
      <c r="F873">
        <v>111</v>
      </c>
      <c r="G873">
        <v>6</v>
      </c>
      <c r="H873" s="1" t="s">
        <v>35</v>
      </c>
      <c r="I873">
        <v>12.2</v>
      </c>
      <c r="J873">
        <v>18</v>
      </c>
      <c r="K873" s="1" t="s">
        <v>36</v>
      </c>
      <c r="L873" s="1" t="s">
        <v>26</v>
      </c>
      <c r="M873">
        <v>0</v>
      </c>
      <c r="N873">
        <v>0</v>
      </c>
      <c r="O873" s="1" t="s">
        <v>27</v>
      </c>
      <c r="P873">
        <v>1</v>
      </c>
      <c r="Q873">
        <v>1</v>
      </c>
      <c r="R873">
        <v>7</v>
      </c>
      <c r="S873">
        <v>5</v>
      </c>
      <c r="T873">
        <v>0</v>
      </c>
      <c r="U873">
        <v>0</v>
      </c>
      <c r="V873">
        <v>9.59</v>
      </c>
    </row>
    <row r="874" spans="1:22">
      <c r="A874" s="1" t="s">
        <v>920</v>
      </c>
      <c r="B874" s="1" t="s">
        <v>29</v>
      </c>
      <c r="C874" s="2">
        <v>46271</v>
      </c>
      <c r="D874" s="3">
        <v>0.375</v>
      </c>
      <c r="E874">
        <v>119</v>
      </c>
      <c r="F874">
        <v>110</v>
      </c>
      <c r="G874">
        <v>6</v>
      </c>
      <c r="H874" s="1" t="s">
        <v>30</v>
      </c>
      <c r="I874">
        <v>32</v>
      </c>
      <c r="J874">
        <v>14</v>
      </c>
      <c r="K874" s="1" t="s">
        <v>31</v>
      </c>
      <c r="L874" s="1" t="s">
        <v>38</v>
      </c>
      <c r="M874">
        <v>1</v>
      </c>
      <c r="N874">
        <v>0</v>
      </c>
      <c r="O874" s="1" t="s">
        <v>27</v>
      </c>
      <c r="P874">
        <v>1</v>
      </c>
      <c r="Q874">
        <v>1</v>
      </c>
      <c r="R874">
        <v>1</v>
      </c>
      <c r="S874">
        <v>9</v>
      </c>
      <c r="T874">
        <v>1</v>
      </c>
      <c r="U874">
        <v>0</v>
      </c>
      <c r="V874">
        <v>3.72</v>
      </c>
    </row>
    <row r="875" spans="1:22">
      <c r="A875" s="1" t="s">
        <v>921</v>
      </c>
      <c r="B875" s="1" t="s">
        <v>34</v>
      </c>
      <c r="C875" s="2">
        <v>46289</v>
      </c>
      <c r="D875" s="3">
        <v>0.79166666666666663</v>
      </c>
      <c r="E875">
        <v>190</v>
      </c>
      <c r="F875">
        <v>177</v>
      </c>
      <c r="G875">
        <v>6</v>
      </c>
      <c r="H875" s="1" t="s">
        <v>35</v>
      </c>
      <c r="I875">
        <v>12.2</v>
      </c>
      <c r="J875">
        <v>18</v>
      </c>
      <c r="K875" s="1" t="s">
        <v>36</v>
      </c>
      <c r="L875" s="1" t="s">
        <v>56</v>
      </c>
      <c r="M875">
        <v>0</v>
      </c>
      <c r="N875">
        <v>0</v>
      </c>
      <c r="O875" s="1" t="s">
        <v>27</v>
      </c>
      <c r="P875">
        <v>1</v>
      </c>
      <c r="Q875">
        <v>1</v>
      </c>
      <c r="R875">
        <v>5</v>
      </c>
      <c r="S875">
        <v>19</v>
      </c>
      <c r="T875">
        <v>1</v>
      </c>
      <c r="U875">
        <v>0</v>
      </c>
      <c r="V875">
        <v>15.57</v>
      </c>
    </row>
    <row r="876" spans="1:22">
      <c r="A876" s="1" t="s">
        <v>922</v>
      </c>
      <c r="B876" s="1" t="s">
        <v>29</v>
      </c>
      <c r="C876" s="2">
        <v>46284</v>
      </c>
      <c r="D876" s="3">
        <v>0.73958333333333337</v>
      </c>
      <c r="E876">
        <v>69</v>
      </c>
      <c r="F876">
        <v>67</v>
      </c>
      <c r="G876">
        <v>3</v>
      </c>
      <c r="H876" s="1" t="s">
        <v>30</v>
      </c>
      <c r="I876">
        <v>32</v>
      </c>
      <c r="J876">
        <v>14</v>
      </c>
      <c r="K876" s="1" t="s">
        <v>31</v>
      </c>
      <c r="L876" s="1" t="s">
        <v>32</v>
      </c>
      <c r="M876">
        <v>1</v>
      </c>
      <c r="N876">
        <v>1</v>
      </c>
      <c r="O876" s="1" t="s">
        <v>27</v>
      </c>
      <c r="P876">
        <v>1</v>
      </c>
      <c r="Q876">
        <v>1</v>
      </c>
      <c r="R876">
        <v>4</v>
      </c>
      <c r="S876">
        <v>17</v>
      </c>
      <c r="T876">
        <v>1</v>
      </c>
      <c r="U876">
        <v>0</v>
      </c>
      <c r="V876">
        <v>2.16</v>
      </c>
    </row>
    <row r="877" spans="1:22">
      <c r="A877" s="1" t="s">
        <v>923</v>
      </c>
      <c r="B877" s="1" t="s">
        <v>34</v>
      </c>
      <c r="C877" s="2">
        <v>46281</v>
      </c>
      <c r="D877" s="3">
        <v>0.5</v>
      </c>
      <c r="E877">
        <v>120</v>
      </c>
      <c r="F877">
        <v>114</v>
      </c>
      <c r="G877">
        <v>4</v>
      </c>
      <c r="H877" s="1" t="s">
        <v>35</v>
      </c>
      <c r="I877">
        <v>12.2</v>
      </c>
      <c r="J877">
        <v>18</v>
      </c>
      <c r="K877" s="1" t="s">
        <v>36</v>
      </c>
      <c r="L877" s="1" t="s">
        <v>69</v>
      </c>
      <c r="M877">
        <v>0</v>
      </c>
      <c r="N877">
        <v>0</v>
      </c>
      <c r="O877" s="1" t="s">
        <v>27</v>
      </c>
      <c r="P877">
        <v>1</v>
      </c>
      <c r="Q877">
        <v>1</v>
      </c>
      <c r="R877">
        <v>1</v>
      </c>
      <c r="S877">
        <v>12</v>
      </c>
      <c r="T877">
        <v>0</v>
      </c>
      <c r="U877">
        <v>0</v>
      </c>
      <c r="V877">
        <v>9.84</v>
      </c>
    </row>
    <row r="878" spans="1:22">
      <c r="A878" s="1" t="s">
        <v>924</v>
      </c>
      <c r="B878" s="1" t="s">
        <v>34</v>
      </c>
      <c r="C878" s="2">
        <v>46273</v>
      </c>
      <c r="D878" s="3">
        <v>0.5625</v>
      </c>
      <c r="E878">
        <v>86</v>
      </c>
      <c r="F878">
        <v>91</v>
      </c>
      <c r="G878">
        <v>4</v>
      </c>
      <c r="H878" s="1" t="s">
        <v>35</v>
      </c>
      <c r="I878">
        <v>12.2</v>
      </c>
      <c r="J878">
        <v>18</v>
      </c>
      <c r="K878" s="1" t="s">
        <v>36</v>
      </c>
      <c r="L878" s="1" t="s">
        <v>26</v>
      </c>
      <c r="M878">
        <v>0</v>
      </c>
      <c r="N878">
        <v>0</v>
      </c>
      <c r="O878" s="1" t="s">
        <v>27</v>
      </c>
      <c r="P878">
        <v>1</v>
      </c>
      <c r="Q878">
        <v>1</v>
      </c>
      <c r="R878">
        <v>11</v>
      </c>
      <c r="S878">
        <v>13</v>
      </c>
      <c r="T878">
        <v>0</v>
      </c>
      <c r="U878">
        <v>0</v>
      </c>
      <c r="V878">
        <v>7.05</v>
      </c>
    </row>
    <row r="879" spans="1:22">
      <c r="A879" s="1" t="s">
        <v>925</v>
      </c>
      <c r="B879" s="1" t="s">
        <v>59</v>
      </c>
      <c r="C879" s="2">
        <v>46293</v>
      </c>
      <c r="D879" s="3">
        <v>0.23958333333333334</v>
      </c>
      <c r="E879">
        <v>160</v>
      </c>
      <c r="F879">
        <v>160</v>
      </c>
      <c r="G879">
        <v>7</v>
      </c>
      <c r="H879" s="1" t="s">
        <v>60</v>
      </c>
      <c r="I879">
        <v>24.8</v>
      </c>
      <c r="J879">
        <v>28</v>
      </c>
      <c r="K879" s="1" t="s">
        <v>61</v>
      </c>
      <c r="L879" s="1" t="s">
        <v>65</v>
      </c>
      <c r="M879">
        <v>0</v>
      </c>
      <c r="N879">
        <v>0</v>
      </c>
      <c r="O879" s="1" t="s">
        <v>27</v>
      </c>
      <c r="P879">
        <v>1</v>
      </c>
      <c r="Q879">
        <v>1</v>
      </c>
      <c r="R879">
        <v>0</v>
      </c>
      <c r="S879">
        <v>5</v>
      </c>
      <c r="T879">
        <v>0</v>
      </c>
      <c r="U879">
        <v>0</v>
      </c>
      <c r="V879">
        <v>6.45</v>
      </c>
    </row>
    <row r="880" spans="1:22">
      <c r="A880" s="1" t="s">
        <v>926</v>
      </c>
      <c r="B880" s="1" t="s">
        <v>29</v>
      </c>
      <c r="C880" s="2">
        <v>46266</v>
      </c>
      <c r="D880" s="3">
        <v>0.30208333333333331</v>
      </c>
      <c r="E880">
        <v>76</v>
      </c>
      <c r="F880">
        <v>66</v>
      </c>
      <c r="G880">
        <v>4</v>
      </c>
      <c r="H880" s="1" t="s">
        <v>30</v>
      </c>
      <c r="I880">
        <v>32</v>
      </c>
      <c r="J880">
        <v>14</v>
      </c>
      <c r="K880" s="1" t="s">
        <v>31</v>
      </c>
      <c r="L880" s="1" t="s">
        <v>26</v>
      </c>
      <c r="M880">
        <v>0</v>
      </c>
      <c r="N880">
        <v>0</v>
      </c>
      <c r="O880" s="1" t="s">
        <v>27</v>
      </c>
      <c r="P880">
        <v>1</v>
      </c>
      <c r="Q880">
        <v>1</v>
      </c>
      <c r="R880">
        <v>4</v>
      </c>
      <c r="S880">
        <v>7</v>
      </c>
      <c r="T880">
        <v>0</v>
      </c>
      <c r="U880">
        <v>0</v>
      </c>
      <c r="V880">
        <v>2.38</v>
      </c>
    </row>
    <row r="881" spans="1:22">
      <c r="A881" s="1" t="s">
        <v>927</v>
      </c>
      <c r="B881" s="1" t="s">
        <v>34</v>
      </c>
      <c r="C881" s="2">
        <v>46292</v>
      </c>
      <c r="D881" s="3">
        <v>0.52083333333333337</v>
      </c>
      <c r="E881">
        <v>72</v>
      </c>
      <c r="F881">
        <v>67</v>
      </c>
      <c r="G881">
        <v>5</v>
      </c>
      <c r="H881" s="1" t="s">
        <v>35</v>
      </c>
      <c r="I881">
        <v>12.2</v>
      </c>
      <c r="J881">
        <v>18</v>
      </c>
      <c r="K881" s="1" t="s">
        <v>36</v>
      </c>
      <c r="L881" s="1" t="s">
        <v>38</v>
      </c>
      <c r="M881">
        <v>1</v>
      </c>
      <c r="N881">
        <v>0</v>
      </c>
      <c r="O881" s="1" t="s">
        <v>134</v>
      </c>
      <c r="P881">
        <v>1</v>
      </c>
      <c r="Q881">
        <v>1</v>
      </c>
      <c r="R881">
        <v>2</v>
      </c>
      <c r="S881">
        <v>12</v>
      </c>
      <c r="T881">
        <v>0</v>
      </c>
      <c r="U881">
        <v>1</v>
      </c>
      <c r="V881">
        <v>5.9</v>
      </c>
    </row>
    <row r="882" spans="1:22">
      <c r="A882" s="1" t="s">
        <v>928</v>
      </c>
      <c r="B882" s="1" t="s">
        <v>59</v>
      </c>
      <c r="C882" s="2">
        <v>46292</v>
      </c>
      <c r="D882" s="3">
        <v>0.55208333333333337</v>
      </c>
      <c r="E882">
        <v>112</v>
      </c>
      <c r="F882">
        <v>109</v>
      </c>
      <c r="G882">
        <v>2</v>
      </c>
      <c r="H882" s="1" t="s">
        <v>60</v>
      </c>
      <c r="I882">
        <v>24.8</v>
      </c>
      <c r="J882">
        <v>28</v>
      </c>
      <c r="K882" s="1" t="s">
        <v>61</v>
      </c>
      <c r="L882" s="1" t="s">
        <v>38</v>
      </c>
      <c r="M882">
        <v>1</v>
      </c>
      <c r="N882">
        <v>0</v>
      </c>
      <c r="O882" s="1" t="s">
        <v>134</v>
      </c>
      <c r="P882">
        <v>1</v>
      </c>
      <c r="Q882">
        <v>1</v>
      </c>
      <c r="R882">
        <v>1</v>
      </c>
      <c r="S882">
        <v>13</v>
      </c>
      <c r="T882">
        <v>0</v>
      </c>
      <c r="U882">
        <v>1</v>
      </c>
      <c r="V882">
        <v>4.5199999999999996</v>
      </c>
    </row>
    <row r="883" spans="1:22">
      <c r="A883" s="1" t="s">
        <v>929</v>
      </c>
      <c r="B883" s="1" t="s">
        <v>45</v>
      </c>
      <c r="C883" s="2">
        <v>46281</v>
      </c>
      <c r="D883" s="3">
        <v>0.76041666666666663</v>
      </c>
      <c r="E883">
        <v>123</v>
      </c>
      <c r="F883">
        <v>104</v>
      </c>
      <c r="G883">
        <v>6</v>
      </c>
      <c r="H883" s="1" t="s">
        <v>46</v>
      </c>
      <c r="I883">
        <v>18.5</v>
      </c>
      <c r="J883">
        <v>22</v>
      </c>
      <c r="K883" s="1" t="s">
        <v>47</v>
      </c>
      <c r="L883" s="1" t="s">
        <v>69</v>
      </c>
      <c r="M883">
        <v>0</v>
      </c>
      <c r="N883">
        <v>0</v>
      </c>
      <c r="O883" s="1" t="s">
        <v>27</v>
      </c>
      <c r="P883">
        <v>1</v>
      </c>
      <c r="Q883">
        <v>1</v>
      </c>
      <c r="R883">
        <v>11</v>
      </c>
      <c r="S883">
        <v>18</v>
      </c>
      <c r="T883">
        <v>1</v>
      </c>
      <c r="U883">
        <v>0</v>
      </c>
      <c r="V883">
        <v>6.65</v>
      </c>
    </row>
    <row r="884" spans="1:22">
      <c r="A884" s="1" t="s">
        <v>930</v>
      </c>
      <c r="B884" s="1" t="s">
        <v>29</v>
      </c>
      <c r="C884" s="2">
        <v>46274</v>
      </c>
      <c r="D884" s="3">
        <v>0.34375</v>
      </c>
      <c r="E884">
        <v>164</v>
      </c>
      <c r="F884">
        <v>151</v>
      </c>
      <c r="G884">
        <v>6</v>
      </c>
      <c r="H884" s="1" t="s">
        <v>30</v>
      </c>
      <c r="I884">
        <v>32</v>
      </c>
      <c r="J884">
        <v>14</v>
      </c>
      <c r="K884" s="1" t="s">
        <v>31</v>
      </c>
      <c r="L884" s="1" t="s">
        <v>69</v>
      </c>
      <c r="M884">
        <v>0</v>
      </c>
      <c r="N884">
        <v>0</v>
      </c>
      <c r="O884" s="1" t="s">
        <v>27</v>
      </c>
      <c r="P884">
        <v>1</v>
      </c>
      <c r="Q884">
        <v>1</v>
      </c>
      <c r="R884">
        <v>2</v>
      </c>
      <c r="S884">
        <v>8</v>
      </c>
      <c r="T884">
        <v>1</v>
      </c>
      <c r="U884">
        <v>0</v>
      </c>
      <c r="V884">
        <v>5.12</v>
      </c>
    </row>
    <row r="885" spans="1:22">
      <c r="A885" s="1" t="s">
        <v>931</v>
      </c>
      <c r="B885" s="1" t="s">
        <v>34</v>
      </c>
      <c r="C885" s="2">
        <v>46278</v>
      </c>
      <c r="D885" s="3">
        <v>0.4375</v>
      </c>
      <c r="E885">
        <v>45</v>
      </c>
      <c r="F885">
        <v>46</v>
      </c>
      <c r="G885">
        <v>4</v>
      </c>
      <c r="H885" s="1" t="s">
        <v>35</v>
      </c>
      <c r="I885">
        <v>12.2</v>
      </c>
      <c r="J885">
        <v>18</v>
      </c>
      <c r="K885" s="1" t="s">
        <v>36</v>
      </c>
      <c r="L885" s="1" t="s">
        <v>38</v>
      </c>
      <c r="M885">
        <v>1</v>
      </c>
      <c r="N885">
        <v>0</v>
      </c>
      <c r="O885" s="1" t="s">
        <v>27</v>
      </c>
      <c r="P885">
        <v>1</v>
      </c>
      <c r="Q885">
        <v>1</v>
      </c>
      <c r="R885">
        <v>1</v>
      </c>
      <c r="S885">
        <v>10</v>
      </c>
      <c r="T885">
        <v>1</v>
      </c>
      <c r="U885">
        <v>0</v>
      </c>
      <c r="V885">
        <v>3.69</v>
      </c>
    </row>
    <row r="886" spans="1:22">
      <c r="A886" s="1" t="s">
        <v>932</v>
      </c>
      <c r="B886" s="1" t="s">
        <v>23</v>
      </c>
      <c r="C886" s="2">
        <v>46276</v>
      </c>
      <c r="D886" s="3">
        <v>0.32291666666666669</v>
      </c>
      <c r="E886">
        <v>117</v>
      </c>
      <c r="F886">
        <v>103</v>
      </c>
      <c r="G886">
        <v>6</v>
      </c>
      <c r="H886" s="1" t="s">
        <v>24</v>
      </c>
      <c r="I886">
        <v>15</v>
      </c>
      <c r="J886">
        <v>16</v>
      </c>
      <c r="K886" s="1" t="s">
        <v>25</v>
      </c>
      <c r="L886" s="1" t="s">
        <v>49</v>
      </c>
      <c r="M886">
        <v>0</v>
      </c>
      <c r="N886">
        <v>0</v>
      </c>
      <c r="O886" s="1" t="s">
        <v>27</v>
      </c>
      <c r="P886">
        <v>1</v>
      </c>
      <c r="Q886">
        <v>1</v>
      </c>
      <c r="R886">
        <v>0</v>
      </c>
      <c r="S886">
        <v>7</v>
      </c>
      <c r="T886">
        <v>0</v>
      </c>
      <c r="U886">
        <v>0</v>
      </c>
      <c r="V886">
        <v>7.8</v>
      </c>
    </row>
    <row r="887" spans="1:22">
      <c r="A887" s="1" t="s">
        <v>933</v>
      </c>
      <c r="B887" s="1" t="s">
        <v>45</v>
      </c>
      <c r="C887" s="2">
        <v>46278</v>
      </c>
      <c r="D887" s="3">
        <v>0.30208333333333331</v>
      </c>
      <c r="E887">
        <v>91</v>
      </c>
      <c r="F887">
        <v>88</v>
      </c>
      <c r="G887">
        <v>5</v>
      </c>
      <c r="H887" s="1" t="s">
        <v>46</v>
      </c>
      <c r="I887">
        <v>18.5</v>
      </c>
      <c r="J887">
        <v>22</v>
      </c>
      <c r="K887" s="1" t="s">
        <v>47</v>
      </c>
      <c r="L887" s="1" t="s">
        <v>38</v>
      </c>
      <c r="M887">
        <v>1</v>
      </c>
      <c r="N887">
        <v>0</v>
      </c>
      <c r="O887" s="1" t="s">
        <v>27</v>
      </c>
      <c r="P887">
        <v>1</v>
      </c>
      <c r="Q887">
        <v>1</v>
      </c>
      <c r="R887">
        <v>3</v>
      </c>
      <c r="S887">
        <v>7</v>
      </c>
      <c r="T887">
        <v>0</v>
      </c>
      <c r="U887">
        <v>0</v>
      </c>
      <c r="V887">
        <v>4.92</v>
      </c>
    </row>
    <row r="888" spans="1:22">
      <c r="A888" s="1" t="s">
        <v>934</v>
      </c>
      <c r="B888" s="1" t="s">
        <v>45</v>
      </c>
      <c r="C888" s="2">
        <v>46290</v>
      </c>
      <c r="D888" s="3">
        <v>0.70833333333333337</v>
      </c>
      <c r="E888">
        <v>43</v>
      </c>
      <c r="F888">
        <v>40</v>
      </c>
      <c r="G888">
        <v>3</v>
      </c>
      <c r="H888" s="1" t="s">
        <v>46</v>
      </c>
      <c r="I888">
        <v>18.5</v>
      </c>
      <c r="J888">
        <v>22</v>
      </c>
      <c r="K888" s="1" t="s">
        <v>47</v>
      </c>
      <c r="L888" s="1" t="s">
        <v>49</v>
      </c>
      <c r="M888">
        <v>0</v>
      </c>
      <c r="N888">
        <v>0</v>
      </c>
      <c r="O888" s="1" t="s">
        <v>27</v>
      </c>
      <c r="P888">
        <v>1</v>
      </c>
      <c r="Q888">
        <v>1</v>
      </c>
      <c r="R888">
        <v>8</v>
      </c>
      <c r="S888">
        <v>17</v>
      </c>
      <c r="T888">
        <v>1</v>
      </c>
      <c r="U888">
        <v>0</v>
      </c>
      <c r="V888">
        <v>2.3199999999999998</v>
      </c>
    </row>
    <row r="889" spans="1:22">
      <c r="A889" s="1" t="s">
        <v>935</v>
      </c>
      <c r="B889" s="1" t="s">
        <v>45</v>
      </c>
      <c r="C889" s="2">
        <v>46286</v>
      </c>
      <c r="D889" s="3">
        <v>0.25</v>
      </c>
      <c r="E889">
        <v>93</v>
      </c>
      <c r="F889">
        <v>87</v>
      </c>
      <c r="G889">
        <v>4</v>
      </c>
      <c r="H889" s="1" t="s">
        <v>46</v>
      </c>
      <c r="I889">
        <v>18.5</v>
      </c>
      <c r="J889">
        <v>22</v>
      </c>
      <c r="K889" s="1" t="s">
        <v>47</v>
      </c>
      <c r="L889" s="1" t="s">
        <v>65</v>
      </c>
      <c r="M889">
        <v>0</v>
      </c>
      <c r="N889">
        <v>0</v>
      </c>
      <c r="O889" s="1" t="s">
        <v>27</v>
      </c>
      <c r="P889">
        <v>1</v>
      </c>
      <c r="Q889">
        <v>1</v>
      </c>
      <c r="R889">
        <v>14</v>
      </c>
      <c r="S889">
        <v>6</v>
      </c>
      <c r="T889">
        <v>0</v>
      </c>
      <c r="U889">
        <v>0</v>
      </c>
      <c r="V889">
        <v>5.03</v>
      </c>
    </row>
    <row r="890" spans="1:22">
      <c r="A890" s="1" t="s">
        <v>936</v>
      </c>
      <c r="B890" s="1" t="s">
        <v>59</v>
      </c>
      <c r="C890" s="2">
        <v>46275</v>
      </c>
      <c r="D890" s="3">
        <v>0.44791666666666669</v>
      </c>
      <c r="E890">
        <v>76</v>
      </c>
      <c r="F890">
        <v>72</v>
      </c>
      <c r="G890">
        <v>5</v>
      </c>
      <c r="H890" s="1" t="s">
        <v>60</v>
      </c>
      <c r="I890">
        <v>24.8</v>
      </c>
      <c r="J890">
        <v>28</v>
      </c>
      <c r="K890" s="1" t="s">
        <v>61</v>
      </c>
      <c r="L890" s="1" t="s">
        <v>56</v>
      </c>
      <c r="M890">
        <v>0</v>
      </c>
      <c r="N890">
        <v>0</v>
      </c>
      <c r="O890" s="1" t="s">
        <v>27</v>
      </c>
      <c r="P890">
        <v>1</v>
      </c>
      <c r="Q890">
        <v>1</v>
      </c>
      <c r="R890">
        <v>20</v>
      </c>
      <c r="S890">
        <v>10</v>
      </c>
      <c r="T890">
        <v>1</v>
      </c>
      <c r="U890">
        <v>0</v>
      </c>
      <c r="V890">
        <v>3.06</v>
      </c>
    </row>
    <row r="891" spans="1:22">
      <c r="A891" s="1" t="s">
        <v>937</v>
      </c>
      <c r="B891" s="1" t="s">
        <v>45</v>
      </c>
      <c r="C891" s="2">
        <v>46269</v>
      </c>
      <c r="D891" s="3">
        <v>0.28125</v>
      </c>
      <c r="E891">
        <v>169</v>
      </c>
      <c r="F891">
        <v>170</v>
      </c>
      <c r="G891">
        <v>6</v>
      </c>
      <c r="H891" s="1" t="s">
        <v>46</v>
      </c>
      <c r="I891">
        <v>18.5</v>
      </c>
      <c r="J891">
        <v>22</v>
      </c>
      <c r="K891" s="1" t="s">
        <v>47</v>
      </c>
      <c r="L891" s="1" t="s">
        <v>49</v>
      </c>
      <c r="M891">
        <v>0</v>
      </c>
      <c r="N891">
        <v>0</v>
      </c>
      <c r="O891" s="1" t="s">
        <v>27</v>
      </c>
      <c r="P891">
        <v>1</v>
      </c>
      <c r="Q891">
        <v>1</v>
      </c>
      <c r="R891">
        <v>28</v>
      </c>
      <c r="S891">
        <v>6</v>
      </c>
      <c r="T891">
        <v>0</v>
      </c>
      <c r="U891">
        <v>0</v>
      </c>
      <c r="V891">
        <v>9.14</v>
      </c>
    </row>
    <row r="892" spans="1:22">
      <c r="A892" s="1" t="s">
        <v>938</v>
      </c>
      <c r="B892" s="1" t="s">
        <v>29</v>
      </c>
      <c r="C892" s="2">
        <v>46292</v>
      </c>
      <c r="D892" s="3">
        <v>0.89583333333333337</v>
      </c>
      <c r="E892">
        <v>96</v>
      </c>
      <c r="F892">
        <v>87</v>
      </c>
      <c r="G892">
        <v>4</v>
      </c>
      <c r="H892" s="1" t="s">
        <v>30</v>
      </c>
      <c r="I892">
        <v>32</v>
      </c>
      <c r="J892">
        <v>14</v>
      </c>
      <c r="K892" s="1" t="s">
        <v>31</v>
      </c>
      <c r="L892" s="1" t="s">
        <v>38</v>
      </c>
      <c r="M892">
        <v>1</v>
      </c>
      <c r="N892">
        <v>0</v>
      </c>
      <c r="O892" s="1" t="s">
        <v>134</v>
      </c>
      <c r="P892">
        <v>1</v>
      </c>
      <c r="Q892">
        <v>1</v>
      </c>
      <c r="R892">
        <v>4</v>
      </c>
      <c r="S892">
        <v>21</v>
      </c>
      <c r="T892">
        <v>0</v>
      </c>
      <c r="U892">
        <v>1</v>
      </c>
      <c r="V892">
        <v>3</v>
      </c>
    </row>
    <row r="893" spans="1:22">
      <c r="A893" s="1" t="s">
        <v>939</v>
      </c>
      <c r="B893" s="1" t="s">
        <v>34</v>
      </c>
      <c r="C893" s="2">
        <v>46271</v>
      </c>
      <c r="D893" s="3">
        <v>0.26041666666666669</v>
      </c>
      <c r="E893">
        <v>173</v>
      </c>
      <c r="F893">
        <v>173</v>
      </c>
      <c r="G893">
        <v>6</v>
      </c>
      <c r="H893" s="1" t="s">
        <v>35</v>
      </c>
      <c r="I893">
        <v>12.2</v>
      </c>
      <c r="J893">
        <v>18</v>
      </c>
      <c r="K893" s="1" t="s">
        <v>36</v>
      </c>
      <c r="L893" s="1" t="s">
        <v>38</v>
      </c>
      <c r="M893">
        <v>1</v>
      </c>
      <c r="N893">
        <v>0</v>
      </c>
      <c r="O893" s="1" t="s">
        <v>27</v>
      </c>
      <c r="P893">
        <v>1</v>
      </c>
      <c r="Q893">
        <v>1</v>
      </c>
      <c r="R893">
        <v>8</v>
      </c>
      <c r="S893">
        <v>6</v>
      </c>
      <c r="T893">
        <v>0</v>
      </c>
      <c r="U893">
        <v>0</v>
      </c>
      <c r="V893">
        <v>14.18</v>
      </c>
    </row>
    <row r="894" spans="1:22">
      <c r="A894" s="1" t="s">
        <v>940</v>
      </c>
      <c r="B894" s="1" t="s">
        <v>34</v>
      </c>
      <c r="C894" s="2">
        <v>46293</v>
      </c>
      <c r="D894" s="3">
        <v>0.84375</v>
      </c>
      <c r="E894">
        <v>113</v>
      </c>
      <c r="F894">
        <v>113</v>
      </c>
      <c r="G894">
        <v>7</v>
      </c>
      <c r="H894" s="1" t="s">
        <v>35</v>
      </c>
      <c r="I894">
        <v>12.2</v>
      </c>
      <c r="J894">
        <v>18</v>
      </c>
      <c r="K894" s="1" t="s">
        <v>36</v>
      </c>
      <c r="L894" s="1" t="s">
        <v>65</v>
      </c>
      <c r="M894">
        <v>0</v>
      </c>
      <c r="N894">
        <v>0</v>
      </c>
      <c r="O894" s="1" t="s">
        <v>27</v>
      </c>
      <c r="P894">
        <v>1</v>
      </c>
      <c r="Q894">
        <v>1</v>
      </c>
      <c r="R894">
        <v>0</v>
      </c>
      <c r="S894">
        <v>20</v>
      </c>
      <c r="T894">
        <v>0</v>
      </c>
      <c r="U894">
        <v>0</v>
      </c>
      <c r="V894">
        <v>9.26</v>
      </c>
    </row>
    <row r="895" spans="1:22">
      <c r="A895" s="1" t="s">
        <v>941</v>
      </c>
      <c r="B895" s="1" t="s">
        <v>23</v>
      </c>
      <c r="C895" s="2">
        <v>46272</v>
      </c>
      <c r="D895" s="3">
        <v>0.26041666666666669</v>
      </c>
      <c r="E895">
        <v>126</v>
      </c>
      <c r="F895">
        <v>123</v>
      </c>
      <c r="G895">
        <v>7</v>
      </c>
      <c r="H895" s="1" t="s">
        <v>24</v>
      </c>
      <c r="I895">
        <v>15</v>
      </c>
      <c r="J895">
        <v>16</v>
      </c>
      <c r="K895" s="1" t="s">
        <v>25</v>
      </c>
      <c r="L895" s="1" t="s">
        <v>65</v>
      </c>
      <c r="M895">
        <v>0</v>
      </c>
      <c r="N895">
        <v>0</v>
      </c>
      <c r="O895" s="1" t="s">
        <v>27</v>
      </c>
      <c r="P895">
        <v>1</v>
      </c>
      <c r="Q895">
        <v>1</v>
      </c>
      <c r="R895">
        <v>4</v>
      </c>
      <c r="S895">
        <v>6</v>
      </c>
      <c r="T895">
        <v>0</v>
      </c>
      <c r="U895">
        <v>0</v>
      </c>
      <c r="V895">
        <v>8.4</v>
      </c>
    </row>
    <row r="896" spans="1:22">
      <c r="A896" s="1" t="s">
        <v>942</v>
      </c>
      <c r="B896" s="1" t="s">
        <v>45</v>
      </c>
      <c r="C896" s="2">
        <v>46270</v>
      </c>
      <c r="D896" s="3">
        <v>0.73958333333333337</v>
      </c>
      <c r="E896">
        <v>76</v>
      </c>
      <c r="F896">
        <v>83</v>
      </c>
      <c r="G896">
        <v>2</v>
      </c>
      <c r="H896" s="1" t="s">
        <v>46</v>
      </c>
      <c r="I896">
        <v>18.5</v>
      </c>
      <c r="J896">
        <v>22</v>
      </c>
      <c r="K896" s="1" t="s">
        <v>47</v>
      </c>
      <c r="L896" s="1" t="s">
        <v>32</v>
      </c>
      <c r="M896">
        <v>1</v>
      </c>
      <c r="N896">
        <v>1</v>
      </c>
      <c r="O896" s="1" t="s">
        <v>27</v>
      </c>
      <c r="P896">
        <v>1</v>
      </c>
      <c r="Q896">
        <v>1</v>
      </c>
      <c r="R896">
        <v>11</v>
      </c>
      <c r="S896">
        <v>17</v>
      </c>
      <c r="T896">
        <v>1</v>
      </c>
      <c r="U896">
        <v>0</v>
      </c>
      <c r="V896">
        <v>4.1100000000000003</v>
      </c>
    </row>
    <row r="897" spans="1:22">
      <c r="A897" s="1" t="s">
        <v>943</v>
      </c>
      <c r="B897" s="1" t="s">
        <v>59</v>
      </c>
      <c r="C897" s="2">
        <v>46276</v>
      </c>
      <c r="D897" s="3">
        <v>0.8125</v>
      </c>
      <c r="E897">
        <v>61</v>
      </c>
      <c r="F897">
        <v>64</v>
      </c>
      <c r="G897">
        <v>3</v>
      </c>
      <c r="H897" s="1" t="s">
        <v>60</v>
      </c>
      <c r="I897">
        <v>24.8</v>
      </c>
      <c r="J897">
        <v>28</v>
      </c>
      <c r="K897" s="1" t="s">
        <v>61</v>
      </c>
      <c r="L897" s="1" t="s">
        <v>49</v>
      </c>
      <c r="M897">
        <v>0</v>
      </c>
      <c r="N897">
        <v>0</v>
      </c>
      <c r="O897" s="1" t="s">
        <v>27</v>
      </c>
      <c r="P897">
        <v>1</v>
      </c>
      <c r="Q897">
        <v>1</v>
      </c>
      <c r="R897">
        <v>2</v>
      </c>
      <c r="S897">
        <v>19</v>
      </c>
      <c r="T897">
        <v>1</v>
      </c>
      <c r="U897">
        <v>0</v>
      </c>
      <c r="V897">
        <v>2.46</v>
      </c>
    </row>
    <row r="898" spans="1:22">
      <c r="A898" s="1" t="s">
        <v>944</v>
      </c>
      <c r="B898" s="1" t="s">
        <v>45</v>
      </c>
      <c r="C898" s="2">
        <v>46278</v>
      </c>
      <c r="D898" s="3">
        <v>0.27083333333333331</v>
      </c>
      <c r="E898">
        <v>140</v>
      </c>
      <c r="F898">
        <v>152</v>
      </c>
      <c r="G898">
        <v>4</v>
      </c>
      <c r="H898" s="1" t="s">
        <v>46</v>
      </c>
      <c r="I898">
        <v>18.5</v>
      </c>
      <c r="J898">
        <v>22</v>
      </c>
      <c r="K898" s="1" t="s">
        <v>47</v>
      </c>
      <c r="L898" s="1" t="s">
        <v>38</v>
      </c>
      <c r="M898">
        <v>1</v>
      </c>
      <c r="N898">
        <v>0</v>
      </c>
      <c r="O898" s="1" t="s">
        <v>27</v>
      </c>
      <c r="P898">
        <v>1</v>
      </c>
      <c r="Q898">
        <v>1</v>
      </c>
      <c r="R898">
        <v>4</v>
      </c>
      <c r="S898">
        <v>6</v>
      </c>
      <c r="T898">
        <v>0</v>
      </c>
      <c r="U898">
        <v>0</v>
      </c>
      <c r="V898">
        <v>7.57</v>
      </c>
    </row>
    <row r="899" spans="1:22">
      <c r="A899" s="1" t="s">
        <v>945</v>
      </c>
      <c r="B899" s="1" t="s">
        <v>45</v>
      </c>
      <c r="C899" s="2">
        <v>46291</v>
      </c>
      <c r="D899" s="3">
        <v>0.32291666666666669</v>
      </c>
      <c r="E899">
        <v>98</v>
      </c>
      <c r="F899">
        <v>92</v>
      </c>
      <c r="G899">
        <v>4</v>
      </c>
      <c r="H899" s="1" t="s">
        <v>46</v>
      </c>
      <c r="I899">
        <v>18.5</v>
      </c>
      <c r="J899">
        <v>22</v>
      </c>
      <c r="K899" s="1" t="s">
        <v>47</v>
      </c>
      <c r="L899" s="1" t="s">
        <v>32</v>
      </c>
      <c r="M899">
        <v>1</v>
      </c>
      <c r="N899">
        <v>0</v>
      </c>
      <c r="O899" s="1" t="s">
        <v>27</v>
      </c>
      <c r="P899">
        <v>1</v>
      </c>
      <c r="Q899">
        <v>1</v>
      </c>
      <c r="R899">
        <v>1</v>
      </c>
      <c r="S899">
        <v>7</v>
      </c>
      <c r="T899">
        <v>0</v>
      </c>
      <c r="U899">
        <v>0</v>
      </c>
      <c r="V899">
        <v>5.3</v>
      </c>
    </row>
    <row r="900" spans="1:22">
      <c r="A900" s="1" t="s">
        <v>946</v>
      </c>
      <c r="B900" s="1" t="s">
        <v>23</v>
      </c>
      <c r="C900" s="2">
        <v>46290</v>
      </c>
      <c r="D900" s="3">
        <v>0.78125</v>
      </c>
      <c r="E900">
        <v>115</v>
      </c>
      <c r="F900">
        <v>120</v>
      </c>
      <c r="G900">
        <v>4</v>
      </c>
      <c r="H900" s="1" t="s">
        <v>24</v>
      </c>
      <c r="I900">
        <v>15</v>
      </c>
      <c r="J900">
        <v>16</v>
      </c>
      <c r="K900" s="1" t="s">
        <v>25</v>
      </c>
      <c r="L900" s="1" t="s">
        <v>49</v>
      </c>
      <c r="M900">
        <v>0</v>
      </c>
      <c r="N900">
        <v>0</v>
      </c>
      <c r="O900" s="1" t="s">
        <v>27</v>
      </c>
      <c r="P900">
        <v>1</v>
      </c>
      <c r="Q900">
        <v>1</v>
      </c>
      <c r="R900">
        <v>3</v>
      </c>
      <c r="S900">
        <v>18</v>
      </c>
      <c r="T900">
        <v>1</v>
      </c>
      <c r="U900">
        <v>0</v>
      </c>
      <c r="V900">
        <v>7.67</v>
      </c>
    </row>
    <row r="901" spans="1:22">
      <c r="A901" s="1" t="s">
        <v>947</v>
      </c>
      <c r="B901" s="1" t="s">
        <v>45</v>
      </c>
      <c r="C901" s="2">
        <v>46284</v>
      </c>
      <c r="D901" s="3">
        <v>0.45833333333333331</v>
      </c>
      <c r="E901">
        <v>79</v>
      </c>
      <c r="F901">
        <v>75</v>
      </c>
      <c r="G901">
        <v>3</v>
      </c>
      <c r="H901" s="1" t="s">
        <v>46</v>
      </c>
      <c r="I901">
        <v>18.5</v>
      </c>
      <c r="J901">
        <v>22</v>
      </c>
      <c r="K901" s="1" t="s">
        <v>47</v>
      </c>
      <c r="L901" s="1" t="s">
        <v>32</v>
      </c>
      <c r="M901">
        <v>1</v>
      </c>
      <c r="N901">
        <v>1</v>
      </c>
      <c r="O901" s="1" t="s">
        <v>27</v>
      </c>
      <c r="P901">
        <v>1</v>
      </c>
      <c r="Q901">
        <v>1</v>
      </c>
      <c r="R901">
        <v>11</v>
      </c>
      <c r="S901">
        <v>11</v>
      </c>
      <c r="T901">
        <v>0</v>
      </c>
      <c r="U901">
        <v>0</v>
      </c>
      <c r="V901">
        <v>4.2699999999999996</v>
      </c>
    </row>
    <row r="902" spans="1:22">
      <c r="A902" s="1" t="s">
        <v>948</v>
      </c>
      <c r="B902" s="1" t="s">
        <v>29</v>
      </c>
      <c r="C902" s="2">
        <v>46288</v>
      </c>
      <c r="D902" s="3">
        <v>0.45833333333333331</v>
      </c>
      <c r="E902">
        <v>129</v>
      </c>
      <c r="F902">
        <v>129</v>
      </c>
      <c r="G902">
        <v>6</v>
      </c>
      <c r="H902" s="1" t="s">
        <v>30</v>
      </c>
      <c r="I902">
        <v>32</v>
      </c>
      <c r="J902">
        <v>14</v>
      </c>
      <c r="K902" s="1" t="s">
        <v>31</v>
      </c>
      <c r="L902" s="1" t="s">
        <v>69</v>
      </c>
      <c r="M902">
        <v>0</v>
      </c>
      <c r="N902">
        <v>0</v>
      </c>
      <c r="O902" s="1" t="s">
        <v>27</v>
      </c>
      <c r="P902">
        <v>1</v>
      </c>
      <c r="Q902">
        <v>1</v>
      </c>
      <c r="R902">
        <v>2</v>
      </c>
      <c r="S902">
        <v>11</v>
      </c>
      <c r="T902">
        <v>0</v>
      </c>
      <c r="U902">
        <v>0</v>
      </c>
      <c r="V902">
        <v>4.03</v>
      </c>
    </row>
    <row r="903" spans="1:22">
      <c r="A903" s="1" t="s">
        <v>949</v>
      </c>
      <c r="B903" s="1" t="s">
        <v>34</v>
      </c>
      <c r="C903" s="2">
        <v>46275</v>
      </c>
      <c r="D903" s="3">
        <v>0.875</v>
      </c>
      <c r="E903">
        <v>174</v>
      </c>
      <c r="F903">
        <v>173</v>
      </c>
      <c r="G903">
        <v>7</v>
      </c>
      <c r="H903" s="1" t="s">
        <v>35</v>
      </c>
      <c r="I903">
        <v>12.2</v>
      </c>
      <c r="J903">
        <v>18</v>
      </c>
      <c r="K903" s="1" t="s">
        <v>36</v>
      </c>
      <c r="L903" s="1" t="s">
        <v>56</v>
      </c>
      <c r="M903">
        <v>0</v>
      </c>
      <c r="N903">
        <v>0</v>
      </c>
      <c r="O903" s="1" t="s">
        <v>27</v>
      </c>
      <c r="P903">
        <v>1</v>
      </c>
      <c r="Q903">
        <v>1</v>
      </c>
      <c r="R903">
        <v>1</v>
      </c>
      <c r="S903">
        <v>21</v>
      </c>
      <c r="T903">
        <v>0</v>
      </c>
      <c r="U903">
        <v>0</v>
      </c>
      <c r="V903">
        <v>14.26</v>
      </c>
    </row>
    <row r="904" spans="1:22">
      <c r="A904" s="1" t="s">
        <v>950</v>
      </c>
      <c r="B904" s="1" t="s">
        <v>45</v>
      </c>
      <c r="C904" s="2">
        <v>46275</v>
      </c>
      <c r="D904" s="3">
        <v>0.70833333333333337</v>
      </c>
      <c r="E904">
        <v>148</v>
      </c>
      <c r="F904">
        <v>147</v>
      </c>
      <c r="G904">
        <v>4</v>
      </c>
      <c r="H904" s="1" t="s">
        <v>46</v>
      </c>
      <c r="I904">
        <v>18.5</v>
      </c>
      <c r="J904">
        <v>22</v>
      </c>
      <c r="K904" s="1" t="s">
        <v>47</v>
      </c>
      <c r="L904" s="1" t="s">
        <v>56</v>
      </c>
      <c r="M904">
        <v>0</v>
      </c>
      <c r="N904">
        <v>0</v>
      </c>
      <c r="O904" s="1" t="s">
        <v>27</v>
      </c>
      <c r="P904">
        <v>1</v>
      </c>
      <c r="Q904">
        <v>1</v>
      </c>
      <c r="R904">
        <v>0</v>
      </c>
      <c r="S904">
        <v>17</v>
      </c>
      <c r="T904">
        <v>1</v>
      </c>
      <c r="U904">
        <v>0</v>
      </c>
      <c r="V904">
        <v>8</v>
      </c>
    </row>
    <row r="905" spans="1:22">
      <c r="A905" s="1" t="s">
        <v>951</v>
      </c>
      <c r="B905" s="1" t="s">
        <v>23</v>
      </c>
      <c r="C905" s="2">
        <v>46276</v>
      </c>
      <c r="D905" s="3">
        <v>0.89583333333333337</v>
      </c>
      <c r="E905">
        <v>167</v>
      </c>
      <c r="F905">
        <v>167</v>
      </c>
      <c r="G905">
        <v>7</v>
      </c>
      <c r="H905" s="1" t="s">
        <v>24</v>
      </c>
      <c r="I905">
        <v>15</v>
      </c>
      <c r="J905">
        <v>16</v>
      </c>
      <c r="K905" s="1" t="s">
        <v>25</v>
      </c>
      <c r="L905" s="1" t="s">
        <v>49</v>
      </c>
      <c r="M905">
        <v>0</v>
      </c>
      <c r="N905">
        <v>0</v>
      </c>
      <c r="O905" s="1" t="s">
        <v>27</v>
      </c>
      <c r="P905">
        <v>1</v>
      </c>
      <c r="Q905">
        <v>1</v>
      </c>
      <c r="R905">
        <v>0</v>
      </c>
      <c r="S905">
        <v>21</v>
      </c>
      <c r="T905">
        <v>0</v>
      </c>
      <c r="U905">
        <v>0</v>
      </c>
      <c r="V905">
        <v>11.13</v>
      </c>
    </row>
    <row r="906" spans="1:22">
      <c r="A906" s="1" t="s">
        <v>952</v>
      </c>
      <c r="B906" s="1" t="s">
        <v>45</v>
      </c>
      <c r="C906" s="2">
        <v>46286</v>
      </c>
      <c r="D906" s="3">
        <v>0.59375</v>
      </c>
      <c r="E906">
        <v>208</v>
      </c>
      <c r="F906">
        <v>205</v>
      </c>
      <c r="G906">
        <v>5</v>
      </c>
      <c r="H906" s="1" t="s">
        <v>46</v>
      </c>
      <c r="I906">
        <v>18.5</v>
      </c>
      <c r="J906">
        <v>22</v>
      </c>
      <c r="K906" s="1" t="s">
        <v>47</v>
      </c>
      <c r="L906" s="1" t="s">
        <v>65</v>
      </c>
      <c r="M906">
        <v>0</v>
      </c>
      <c r="N906">
        <v>0</v>
      </c>
      <c r="O906" s="1" t="s">
        <v>27</v>
      </c>
      <c r="P906">
        <v>1</v>
      </c>
      <c r="Q906">
        <v>1</v>
      </c>
      <c r="R906">
        <v>4</v>
      </c>
      <c r="S906">
        <v>14</v>
      </c>
      <c r="T906">
        <v>0</v>
      </c>
      <c r="U906">
        <v>0</v>
      </c>
      <c r="V906">
        <v>11.24</v>
      </c>
    </row>
    <row r="907" spans="1:22">
      <c r="A907" s="1" t="s">
        <v>953</v>
      </c>
      <c r="B907" s="1" t="s">
        <v>59</v>
      </c>
      <c r="C907" s="2">
        <v>46295</v>
      </c>
      <c r="D907" s="3">
        <v>0.36458333333333331</v>
      </c>
      <c r="E907">
        <v>95</v>
      </c>
      <c r="F907">
        <v>91</v>
      </c>
      <c r="G907">
        <v>4</v>
      </c>
      <c r="H907" s="1" t="s">
        <v>60</v>
      </c>
      <c r="I907">
        <v>24.8</v>
      </c>
      <c r="J907">
        <v>28</v>
      </c>
      <c r="K907" s="1" t="s">
        <v>61</v>
      </c>
      <c r="L907" s="1" t="s">
        <v>69</v>
      </c>
      <c r="M907">
        <v>0</v>
      </c>
      <c r="N907">
        <v>0</v>
      </c>
      <c r="O907" s="1" t="s">
        <v>27</v>
      </c>
      <c r="P907">
        <v>1</v>
      </c>
      <c r="Q907">
        <v>1</v>
      </c>
      <c r="R907">
        <v>18</v>
      </c>
      <c r="S907">
        <v>8</v>
      </c>
      <c r="T907">
        <v>1</v>
      </c>
      <c r="U907">
        <v>0</v>
      </c>
      <c r="V907">
        <v>3.83</v>
      </c>
    </row>
    <row r="908" spans="1:22">
      <c r="A908" s="1" t="s">
        <v>954</v>
      </c>
      <c r="B908" s="1" t="s">
        <v>29</v>
      </c>
      <c r="C908" s="2">
        <v>46272</v>
      </c>
      <c r="D908" s="3">
        <v>0.92708333333333337</v>
      </c>
      <c r="E908">
        <v>62</v>
      </c>
      <c r="F908">
        <v>66</v>
      </c>
      <c r="G908">
        <v>5</v>
      </c>
      <c r="H908" s="1" t="s">
        <v>30</v>
      </c>
      <c r="I908">
        <v>32</v>
      </c>
      <c r="J908">
        <v>14</v>
      </c>
      <c r="K908" s="1" t="s">
        <v>31</v>
      </c>
      <c r="L908" s="1" t="s">
        <v>65</v>
      </c>
      <c r="M908">
        <v>0</v>
      </c>
      <c r="N908">
        <v>0</v>
      </c>
      <c r="O908" s="1" t="s">
        <v>27</v>
      </c>
      <c r="P908">
        <v>1</v>
      </c>
      <c r="Q908">
        <v>1</v>
      </c>
      <c r="R908">
        <v>1</v>
      </c>
      <c r="S908">
        <v>22</v>
      </c>
      <c r="T908">
        <v>0</v>
      </c>
      <c r="U908">
        <v>0</v>
      </c>
      <c r="V908">
        <v>1.94</v>
      </c>
    </row>
    <row r="909" spans="1:22">
      <c r="A909" s="1" t="s">
        <v>955</v>
      </c>
      <c r="B909" s="1" t="s">
        <v>29</v>
      </c>
      <c r="C909" s="2">
        <v>46283</v>
      </c>
      <c r="D909" s="3">
        <v>0.94791666666666663</v>
      </c>
      <c r="E909">
        <v>64</v>
      </c>
      <c r="F909">
        <v>74</v>
      </c>
      <c r="G909">
        <v>3</v>
      </c>
      <c r="H909" s="1" t="s">
        <v>30</v>
      </c>
      <c r="I909">
        <v>32</v>
      </c>
      <c r="J909">
        <v>14</v>
      </c>
      <c r="K909" s="1" t="s">
        <v>31</v>
      </c>
      <c r="L909" s="1" t="s">
        <v>49</v>
      </c>
      <c r="M909">
        <v>0</v>
      </c>
      <c r="N909">
        <v>0</v>
      </c>
      <c r="O909" s="1" t="s">
        <v>27</v>
      </c>
      <c r="P909">
        <v>1</v>
      </c>
      <c r="Q909">
        <v>1</v>
      </c>
      <c r="R909">
        <v>2</v>
      </c>
      <c r="S909">
        <v>22</v>
      </c>
      <c r="T909">
        <v>0</v>
      </c>
      <c r="U909">
        <v>0</v>
      </c>
      <c r="V909">
        <v>2</v>
      </c>
    </row>
    <row r="910" spans="1:22">
      <c r="A910" s="1" t="s">
        <v>956</v>
      </c>
      <c r="B910" s="1" t="s">
        <v>45</v>
      </c>
      <c r="C910" s="2">
        <v>46269</v>
      </c>
      <c r="D910" s="3">
        <v>0.78125</v>
      </c>
      <c r="E910">
        <v>93</v>
      </c>
      <c r="F910">
        <v>101</v>
      </c>
      <c r="G910">
        <v>3</v>
      </c>
      <c r="H910" s="1" t="s">
        <v>46</v>
      </c>
      <c r="I910">
        <v>18.5</v>
      </c>
      <c r="J910">
        <v>22</v>
      </c>
      <c r="K910" s="1" t="s">
        <v>47</v>
      </c>
      <c r="L910" s="1" t="s">
        <v>49</v>
      </c>
      <c r="M910">
        <v>0</v>
      </c>
      <c r="N910">
        <v>0</v>
      </c>
      <c r="O910" s="1" t="s">
        <v>27</v>
      </c>
      <c r="P910">
        <v>1</v>
      </c>
      <c r="Q910">
        <v>1</v>
      </c>
      <c r="R910">
        <v>8</v>
      </c>
      <c r="S910">
        <v>18</v>
      </c>
      <c r="T910">
        <v>1</v>
      </c>
      <c r="U910">
        <v>0</v>
      </c>
      <c r="V910">
        <v>5.03</v>
      </c>
    </row>
    <row r="911" spans="1:22">
      <c r="A911" s="1" t="s">
        <v>957</v>
      </c>
      <c r="B911" s="1" t="s">
        <v>34</v>
      </c>
      <c r="C911" s="2">
        <v>46267</v>
      </c>
      <c r="D911" s="3">
        <v>0.80208333333333337</v>
      </c>
      <c r="E911">
        <v>78</v>
      </c>
      <c r="F911">
        <v>83</v>
      </c>
      <c r="G911">
        <v>6</v>
      </c>
      <c r="H911" s="1" t="s">
        <v>35</v>
      </c>
      <c r="I911">
        <v>12.2</v>
      </c>
      <c r="J911">
        <v>18</v>
      </c>
      <c r="K911" s="1" t="s">
        <v>36</v>
      </c>
      <c r="L911" s="1" t="s">
        <v>69</v>
      </c>
      <c r="M911">
        <v>0</v>
      </c>
      <c r="N911">
        <v>0</v>
      </c>
      <c r="O911" s="1" t="s">
        <v>27</v>
      </c>
      <c r="P911">
        <v>1</v>
      </c>
      <c r="Q911">
        <v>1</v>
      </c>
      <c r="R911">
        <v>9</v>
      </c>
      <c r="S911">
        <v>19</v>
      </c>
      <c r="T911">
        <v>1</v>
      </c>
      <c r="U911">
        <v>0</v>
      </c>
      <c r="V911">
        <v>6.39</v>
      </c>
    </row>
    <row r="912" spans="1:22">
      <c r="A912" s="1" t="s">
        <v>958</v>
      </c>
      <c r="B912" s="1" t="s">
        <v>45</v>
      </c>
      <c r="C912" s="2">
        <v>46279</v>
      </c>
      <c r="D912" s="3">
        <v>0.33333333333333331</v>
      </c>
      <c r="E912">
        <v>62</v>
      </c>
      <c r="F912">
        <v>59</v>
      </c>
      <c r="G912">
        <v>6</v>
      </c>
      <c r="H912" s="1" t="s">
        <v>46</v>
      </c>
      <c r="I912">
        <v>18.5</v>
      </c>
      <c r="J912">
        <v>22</v>
      </c>
      <c r="K912" s="1" t="s">
        <v>47</v>
      </c>
      <c r="L912" s="1" t="s">
        <v>65</v>
      </c>
      <c r="M912">
        <v>0</v>
      </c>
      <c r="N912">
        <v>0</v>
      </c>
      <c r="O912" s="1" t="s">
        <v>27</v>
      </c>
      <c r="P912">
        <v>1</v>
      </c>
      <c r="Q912">
        <v>1</v>
      </c>
      <c r="R912">
        <v>5</v>
      </c>
      <c r="S912">
        <v>8</v>
      </c>
      <c r="T912">
        <v>1</v>
      </c>
      <c r="U912">
        <v>0</v>
      </c>
      <c r="V912">
        <v>3.35</v>
      </c>
    </row>
    <row r="913" spans="1:22">
      <c r="A913" s="1" t="s">
        <v>959</v>
      </c>
      <c r="B913" s="1" t="s">
        <v>45</v>
      </c>
      <c r="C913" s="2">
        <v>46278</v>
      </c>
      <c r="D913" s="3">
        <v>0.51041666666666663</v>
      </c>
      <c r="E913">
        <v>89</v>
      </c>
      <c r="F913">
        <v>84</v>
      </c>
      <c r="G913">
        <v>3</v>
      </c>
      <c r="H913" s="1" t="s">
        <v>46</v>
      </c>
      <c r="I913">
        <v>18.5</v>
      </c>
      <c r="J913">
        <v>22</v>
      </c>
      <c r="K913" s="1" t="s">
        <v>47</v>
      </c>
      <c r="L913" s="1" t="s">
        <v>38</v>
      </c>
      <c r="M913">
        <v>1</v>
      </c>
      <c r="N913">
        <v>0</v>
      </c>
      <c r="O913" s="1" t="s">
        <v>27</v>
      </c>
      <c r="P913">
        <v>1</v>
      </c>
      <c r="Q913">
        <v>1</v>
      </c>
      <c r="R913">
        <v>1</v>
      </c>
      <c r="S913">
        <v>12</v>
      </c>
      <c r="T913">
        <v>0</v>
      </c>
      <c r="U913">
        <v>0</v>
      </c>
      <c r="V913">
        <v>4.8099999999999996</v>
      </c>
    </row>
    <row r="914" spans="1:22">
      <c r="A914" s="1" t="s">
        <v>960</v>
      </c>
      <c r="B914" s="1" t="s">
        <v>45</v>
      </c>
      <c r="C914" s="2">
        <v>46294</v>
      </c>
      <c r="D914" s="3">
        <v>0.6875</v>
      </c>
      <c r="E914">
        <v>84</v>
      </c>
      <c r="F914">
        <v>75</v>
      </c>
      <c r="G914">
        <v>5</v>
      </c>
      <c r="H914" s="1" t="s">
        <v>46</v>
      </c>
      <c r="I914">
        <v>18.5</v>
      </c>
      <c r="J914">
        <v>22</v>
      </c>
      <c r="K914" s="1" t="s">
        <v>47</v>
      </c>
      <c r="L914" s="1" t="s">
        <v>26</v>
      </c>
      <c r="M914">
        <v>0</v>
      </c>
      <c r="N914">
        <v>0</v>
      </c>
      <c r="O914" s="1" t="s">
        <v>27</v>
      </c>
      <c r="P914">
        <v>1</v>
      </c>
      <c r="Q914">
        <v>1</v>
      </c>
      <c r="R914">
        <v>8</v>
      </c>
      <c r="S914">
        <v>16</v>
      </c>
      <c r="T914">
        <v>0</v>
      </c>
      <c r="U914">
        <v>0</v>
      </c>
      <c r="V914">
        <v>4.54</v>
      </c>
    </row>
    <row r="915" spans="1:22">
      <c r="A915" s="1" t="s">
        <v>961</v>
      </c>
      <c r="B915" s="1" t="s">
        <v>29</v>
      </c>
      <c r="C915" s="2">
        <v>46277</v>
      </c>
      <c r="D915" s="3">
        <v>0.76041666666666663</v>
      </c>
      <c r="E915">
        <v>84</v>
      </c>
      <c r="F915">
        <v>84</v>
      </c>
      <c r="G915">
        <v>4</v>
      </c>
      <c r="H915" s="1" t="s">
        <v>30</v>
      </c>
      <c r="I915">
        <v>32</v>
      </c>
      <c r="J915">
        <v>14</v>
      </c>
      <c r="K915" s="1" t="s">
        <v>31</v>
      </c>
      <c r="L915" s="1" t="s">
        <v>32</v>
      </c>
      <c r="M915">
        <v>1</v>
      </c>
      <c r="N915">
        <v>0</v>
      </c>
      <c r="O915" s="1" t="s">
        <v>40</v>
      </c>
      <c r="P915">
        <v>1</v>
      </c>
      <c r="Q915">
        <v>1</v>
      </c>
      <c r="R915">
        <v>0</v>
      </c>
      <c r="S915">
        <v>18</v>
      </c>
      <c r="T915">
        <v>1</v>
      </c>
      <c r="U915">
        <v>1</v>
      </c>
      <c r="V915">
        <v>2.62</v>
      </c>
    </row>
    <row r="916" spans="1:22">
      <c r="A916" s="1" t="s">
        <v>962</v>
      </c>
      <c r="B916" s="1" t="s">
        <v>23</v>
      </c>
      <c r="C916" s="2">
        <v>46272</v>
      </c>
      <c r="D916" s="3">
        <v>0.94791666666666663</v>
      </c>
      <c r="E916">
        <v>57</v>
      </c>
      <c r="F916">
        <v>51</v>
      </c>
      <c r="G916">
        <v>6</v>
      </c>
      <c r="H916" s="1" t="s">
        <v>24</v>
      </c>
      <c r="I916">
        <v>15</v>
      </c>
      <c r="J916">
        <v>16</v>
      </c>
      <c r="K916" s="1" t="s">
        <v>25</v>
      </c>
      <c r="L916" s="1" t="s">
        <v>65</v>
      </c>
      <c r="M916">
        <v>0</v>
      </c>
      <c r="N916">
        <v>0</v>
      </c>
      <c r="O916" s="1" t="s">
        <v>27</v>
      </c>
      <c r="P916">
        <v>1</v>
      </c>
      <c r="Q916">
        <v>1</v>
      </c>
      <c r="R916">
        <v>5</v>
      </c>
      <c r="S916">
        <v>22</v>
      </c>
      <c r="T916">
        <v>0</v>
      </c>
      <c r="U916">
        <v>0</v>
      </c>
      <c r="V916">
        <v>3.8</v>
      </c>
    </row>
    <row r="917" spans="1:22">
      <c r="A917" s="1" t="s">
        <v>963</v>
      </c>
      <c r="B917" s="1" t="s">
        <v>45</v>
      </c>
      <c r="C917" s="2">
        <v>46267</v>
      </c>
      <c r="D917" s="3">
        <v>0.27083333333333331</v>
      </c>
      <c r="E917">
        <v>126</v>
      </c>
      <c r="F917">
        <v>121</v>
      </c>
      <c r="G917">
        <v>4</v>
      </c>
      <c r="H917" s="1" t="s">
        <v>46</v>
      </c>
      <c r="I917">
        <v>18.5</v>
      </c>
      <c r="J917">
        <v>22</v>
      </c>
      <c r="K917" s="1" t="s">
        <v>47</v>
      </c>
      <c r="L917" s="1" t="s">
        <v>69</v>
      </c>
      <c r="M917">
        <v>0</v>
      </c>
      <c r="N917">
        <v>0</v>
      </c>
      <c r="O917" s="1" t="s">
        <v>27</v>
      </c>
      <c r="P917">
        <v>1</v>
      </c>
      <c r="Q917">
        <v>1</v>
      </c>
      <c r="R917">
        <v>7</v>
      </c>
      <c r="S917">
        <v>6</v>
      </c>
      <c r="T917">
        <v>0</v>
      </c>
      <c r="U917">
        <v>0</v>
      </c>
      <c r="V917">
        <v>6.81</v>
      </c>
    </row>
    <row r="918" spans="1:22">
      <c r="A918" s="1" t="s">
        <v>964</v>
      </c>
      <c r="B918" s="1" t="s">
        <v>34</v>
      </c>
      <c r="C918" s="2">
        <v>46278</v>
      </c>
      <c r="D918" s="3">
        <v>0.625</v>
      </c>
      <c r="E918">
        <v>140</v>
      </c>
      <c r="F918">
        <v>140</v>
      </c>
      <c r="G918">
        <v>5</v>
      </c>
      <c r="H918" s="1" t="s">
        <v>35</v>
      </c>
      <c r="I918">
        <v>12.2</v>
      </c>
      <c r="J918">
        <v>18</v>
      </c>
      <c r="K918" s="1" t="s">
        <v>36</v>
      </c>
      <c r="L918" s="1" t="s">
        <v>38</v>
      </c>
      <c r="M918">
        <v>1</v>
      </c>
      <c r="N918">
        <v>0</v>
      </c>
      <c r="O918" s="1" t="s">
        <v>27</v>
      </c>
      <c r="P918">
        <v>1</v>
      </c>
      <c r="Q918">
        <v>1</v>
      </c>
      <c r="R918">
        <v>18</v>
      </c>
      <c r="S918">
        <v>15</v>
      </c>
      <c r="T918">
        <v>0</v>
      </c>
      <c r="U918">
        <v>0</v>
      </c>
      <c r="V918">
        <v>11.48</v>
      </c>
    </row>
    <row r="919" spans="1:22">
      <c r="A919" s="1" t="s">
        <v>965</v>
      </c>
      <c r="B919" s="1" t="s">
        <v>23</v>
      </c>
      <c r="C919" s="2">
        <v>46279</v>
      </c>
      <c r="D919" s="3">
        <v>0.66666666666666663</v>
      </c>
      <c r="E919">
        <v>90</v>
      </c>
      <c r="F919">
        <v>80</v>
      </c>
      <c r="G919">
        <v>4</v>
      </c>
      <c r="H919" s="1" t="s">
        <v>24</v>
      </c>
      <c r="I919">
        <v>15</v>
      </c>
      <c r="J919">
        <v>16</v>
      </c>
      <c r="K919" s="1" t="s">
        <v>25</v>
      </c>
      <c r="L919" s="1" t="s">
        <v>65</v>
      </c>
      <c r="M919">
        <v>0</v>
      </c>
      <c r="N919">
        <v>0</v>
      </c>
      <c r="O919" s="1" t="s">
        <v>27</v>
      </c>
      <c r="P919">
        <v>1</v>
      </c>
      <c r="Q919">
        <v>1</v>
      </c>
      <c r="R919">
        <v>4</v>
      </c>
      <c r="S919">
        <v>16</v>
      </c>
      <c r="T919">
        <v>0</v>
      </c>
      <c r="U919">
        <v>0</v>
      </c>
      <c r="V919">
        <v>6</v>
      </c>
    </row>
    <row r="920" spans="1:22">
      <c r="A920" s="1" t="s">
        <v>966</v>
      </c>
      <c r="B920" s="1" t="s">
        <v>59</v>
      </c>
      <c r="C920" s="2">
        <v>46292</v>
      </c>
      <c r="D920" s="3">
        <v>0.79166666666666663</v>
      </c>
      <c r="E920">
        <v>59</v>
      </c>
      <c r="F920">
        <v>51</v>
      </c>
      <c r="G920">
        <v>4</v>
      </c>
      <c r="H920" s="1" t="s">
        <v>60</v>
      </c>
      <c r="I920">
        <v>24.8</v>
      </c>
      <c r="J920">
        <v>28</v>
      </c>
      <c r="K920" s="1" t="s">
        <v>61</v>
      </c>
      <c r="L920" s="1" t="s">
        <v>38</v>
      </c>
      <c r="M920">
        <v>1</v>
      </c>
      <c r="N920">
        <v>0</v>
      </c>
      <c r="O920" s="1" t="s">
        <v>134</v>
      </c>
      <c r="P920">
        <v>1</v>
      </c>
      <c r="Q920">
        <v>1</v>
      </c>
      <c r="R920">
        <v>9</v>
      </c>
      <c r="S920">
        <v>19</v>
      </c>
      <c r="T920">
        <v>1</v>
      </c>
      <c r="U920">
        <v>1</v>
      </c>
      <c r="V920">
        <v>2.38</v>
      </c>
    </row>
    <row r="921" spans="1:22">
      <c r="A921" s="1" t="s">
        <v>967</v>
      </c>
      <c r="B921" s="1" t="s">
        <v>29</v>
      </c>
      <c r="C921" s="2">
        <v>46282</v>
      </c>
      <c r="D921" s="3">
        <v>0.88541666666666663</v>
      </c>
      <c r="E921">
        <v>55</v>
      </c>
      <c r="F921">
        <v>46</v>
      </c>
      <c r="G921">
        <v>3</v>
      </c>
      <c r="H921" s="1" t="s">
        <v>30</v>
      </c>
      <c r="I921">
        <v>32</v>
      </c>
      <c r="J921">
        <v>14</v>
      </c>
      <c r="K921" s="1" t="s">
        <v>31</v>
      </c>
      <c r="L921" s="1" t="s">
        <v>56</v>
      </c>
      <c r="M921">
        <v>0</v>
      </c>
      <c r="N921">
        <v>0</v>
      </c>
      <c r="O921" s="1" t="s">
        <v>27</v>
      </c>
      <c r="P921">
        <v>1</v>
      </c>
      <c r="Q921">
        <v>1</v>
      </c>
      <c r="R921">
        <v>8</v>
      </c>
      <c r="S921">
        <v>21</v>
      </c>
      <c r="T921">
        <v>0</v>
      </c>
      <c r="U921">
        <v>0</v>
      </c>
      <c r="V921">
        <v>1.72</v>
      </c>
    </row>
    <row r="922" spans="1:22">
      <c r="A922" s="1" t="s">
        <v>968</v>
      </c>
      <c r="B922" s="1" t="s">
        <v>45</v>
      </c>
      <c r="C922" s="2">
        <v>46274</v>
      </c>
      <c r="D922" s="3">
        <v>0.94791666666666663</v>
      </c>
      <c r="E922">
        <v>137</v>
      </c>
      <c r="F922">
        <v>132</v>
      </c>
      <c r="G922">
        <v>6</v>
      </c>
      <c r="H922" s="1" t="s">
        <v>46</v>
      </c>
      <c r="I922">
        <v>18.5</v>
      </c>
      <c r="J922">
        <v>22</v>
      </c>
      <c r="K922" s="1" t="s">
        <v>47</v>
      </c>
      <c r="L922" s="1" t="s">
        <v>69</v>
      </c>
      <c r="M922">
        <v>0</v>
      </c>
      <c r="N922">
        <v>0</v>
      </c>
      <c r="O922" s="1" t="s">
        <v>27</v>
      </c>
      <c r="P922">
        <v>1</v>
      </c>
      <c r="Q922">
        <v>1</v>
      </c>
      <c r="R922">
        <v>8</v>
      </c>
      <c r="S922">
        <v>22</v>
      </c>
      <c r="T922">
        <v>0</v>
      </c>
      <c r="U922">
        <v>0</v>
      </c>
      <c r="V922">
        <v>7.41</v>
      </c>
    </row>
    <row r="923" spans="1:22">
      <c r="A923" s="1" t="s">
        <v>969</v>
      </c>
      <c r="B923" s="1" t="s">
        <v>34</v>
      </c>
      <c r="C923" s="2">
        <v>46282</v>
      </c>
      <c r="D923" s="3">
        <v>0.41666666666666669</v>
      </c>
      <c r="E923">
        <v>200</v>
      </c>
      <c r="F923">
        <v>188</v>
      </c>
      <c r="G923">
        <v>7</v>
      </c>
      <c r="H923" s="1" t="s">
        <v>35</v>
      </c>
      <c r="I923">
        <v>12.2</v>
      </c>
      <c r="J923">
        <v>18</v>
      </c>
      <c r="K923" s="1" t="s">
        <v>36</v>
      </c>
      <c r="L923" s="1" t="s">
        <v>56</v>
      </c>
      <c r="M923">
        <v>0</v>
      </c>
      <c r="N923">
        <v>0</v>
      </c>
      <c r="O923" s="1" t="s">
        <v>27</v>
      </c>
      <c r="P923">
        <v>1</v>
      </c>
      <c r="Q923">
        <v>1</v>
      </c>
      <c r="R923">
        <v>4</v>
      </c>
      <c r="S923">
        <v>10</v>
      </c>
      <c r="T923">
        <v>1</v>
      </c>
      <c r="U923">
        <v>0</v>
      </c>
      <c r="V923">
        <v>16.39</v>
      </c>
    </row>
    <row r="924" spans="1:22">
      <c r="A924" s="1" t="s">
        <v>970</v>
      </c>
      <c r="B924" s="1" t="s">
        <v>23</v>
      </c>
      <c r="C924" s="2">
        <v>46273</v>
      </c>
      <c r="D924" s="3">
        <v>0.94791666666666663</v>
      </c>
      <c r="E924">
        <v>64</v>
      </c>
      <c r="F924">
        <v>66</v>
      </c>
      <c r="G924">
        <v>5</v>
      </c>
      <c r="H924" s="1" t="s">
        <v>24</v>
      </c>
      <c r="I924">
        <v>15</v>
      </c>
      <c r="J924">
        <v>16</v>
      </c>
      <c r="K924" s="1" t="s">
        <v>25</v>
      </c>
      <c r="L924" s="1" t="s">
        <v>26</v>
      </c>
      <c r="M924">
        <v>0</v>
      </c>
      <c r="N924">
        <v>0</v>
      </c>
      <c r="O924" s="1" t="s">
        <v>27</v>
      </c>
      <c r="P924">
        <v>1</v>
      </c>
      <c r="Q924">
        <v>1</v>
      </c>
      <c r="R924">
        <v>3</v>
      </c>
      <c r="S924">
        <v>22</v>
      </c>
      <c r="T924">
        <v>0</v>
      </c>
      <c r="U924">
        <v>0</v>
      </c>
      <c r="V924">
        <v>4.2699999999999996</v>
      </c>
    </row>
    <row r="925" spans="1:22">
      <c r="A925" s="1" t="s">
        <v>971</v>
      </c>
      <c r="B925" s="1" t="s">
        <v>34</v>
      </c>
      <c r="C925" s="2">
        <v>46267</v>
      </c>
      <c r="D925" s="3">
        <v>0.55208333333333337</v>
      </c>
      <c r="E925">
        <v>57</v>
      </c>
      <c r="F925">
        <v>49</v>
      </c>
      <c r="G925">
        <v>3</v>
      </c>
      <c r="H925" s="1" t="s">
        <v>35</v>
      </c>
      <c r="I925">
        <v>12.2</v>
      </c>
      <c r="J925">
        <v>18</v>
      </c>
      <c r="K925" s="1" t="s">
        <v>36</v>
      </c>
      <c r="L925" s="1" t="s">
        <v>69</v>
      </c>
      <c r="M925">
        <v>0</v>
      </c>
      <c r="N925">
        <v>0</v>
      </c>
      <c r="O925" s="1" t="s">
        <v>27</v>
      </c>
      <c r="P925">
        <v>1</v>
      </c>
      <c r="Q925">
        <v>1</v>
      </c>
      <c r="R925">
        <v>3</v>
      </c>
      <c r="S925">
        <v>13</v>
      </c>
      <c r="T925">
        <v>0</v>
      </c>
      <c r="U925">
        <v>0</v>
      </c>
      <c r="V925">
        <v>4.67</v>
      </c>
    </row>
    <row r="926" spans="1:22">
      <c r="A926" s="1" t="s">
        <v>972</v>
      </c>
      <c r="B926" s="1" t="s">
        <v>59</v>
      </c>
      <c r="C926" s="2">
        <v>46293</v>
      </c>
      <c r="D926" s="3">
        <v>0.40625</v>
      </c>
      <c r="E926">
        <v>31</v>
      </c>
      <c r="F926">
        <v>35</v>
      </c>
      <c r="G926">
        <v>4</v>
      </c>
      <c r="H926" s="1" t="s">
        <v>60</v>
      </c>
      <c r="I926">
        <v>24.8</v>
      </c>
      <c r="J926">
        <v>28</v>
      </c>
      <c r="K926" s="1" t="s">
        <v>61</v>
      </c>
      <c r="L926" s="1" t="s">
        <v>65</v>
      </c>
      <c r="M926">
        <v>0</v>
      </c>
      <c r="N926">
        <v>0</v>
      </c>
      <c r="O926" s="1" t="s">
        <v>27</v>
      </c>
      <c r="P926">
        <v>1</v>
      </c>
      <c r="Q926">
        <v>1</v>
      </c>
      <c r="R926">
        <v>0</v>
      </c>
      <c r="S926">
        <v>9</v>
      </c>
      <c r="T926">
        <v>1</v>
      </c>
      <c r="U926">
        <v>0</v>
      </c>
      <c r="V926">
        <v>1.25</v>
      </c>
    </row>
    <row r="927" spans="1:22">
      <c r="A927" s="1" t="s">
        <v>973</v>
      </c>
      <c r="B927" s="1" t="s">
        <v>29</v>
      </c>
      <c r="C927" s="2">
        <v>46289</v>
      </c>
      <c r="D927" s="3">
        <v>0.625</v>
      </c>
      <c r="E927">
        <v>86</v>
      </c>
      <c r="F927">
        <v>91</v>
      </c>
      <c r="G927">
        <v>3</v>
      </c>
      <c r="H927" s="1" t="s">
        <v>30</v>
      </c>
      <c r="I927">
        <v>32</v>
      </c>
      <c r="J927">
        <v>14</v>
      </c>
      <c r="K927" s="1" t="s">
        <v>31</v>
      </c>
      <c r="L927" s="1" t="s">
        <v>56</v>
      </c>
      <c r="M927">
        <v>0</v>
      </c>
      <c r="N927">
        <v>0</v>
      </c>
      <c r="O927" s="1" t="s">
        <v>27</v>
      </c>
      <c r="P927">
        <v>1</v>
      </c>
      <c r="Q927">
        <v>1</v>
      </c>
      <c r="R927">
        <v>5</v>
      </c>
      <c r="S927">
        <v>15</v>
      </c>
      <c r="T927">
        <v>0</v>
      </c>
      <c r="U927">
        <v>0</v>
      </c>
      <c r="V927">
        <v>2.69</v>
      </c>
    </row>
    <row r="928" spans="1:22">
      <c r="A928" s="1" t="s">
        <v>974</v>
      </c>
      <c r="B928" s="1" t="s">
        <v>34</v>
      </c>
      <c r="C928" s="2">
        <v>46278</v>
      </c>
      <c r="D928" s="3">
        <v>0.22916666666666666</v>
      </c>
      <c r="E928">
        <v>141</v>
      </c>
      <c r="F928">
        <v>141</v>
      </c>
      <c r="G928">
        <v>6</v>
      </c>
      <c r="H928" s="1" t="s">
        <v>35</v>
      </c>
      <c r="I928">
        <v>12.2</v>
      </c>
      <c r="J928">
        <v>18</v>
      </c>
      <c r="K928" s="1" t="s">
        <v>36</v>
      </c>
      <c r="L928" s="1" t="s">
        <v>38</v>
      </c>
      <c r="M928">
        <v>1</v>
      </c>
      <c r="N928">
        <v>0</v>
      </c>
      <c r="O928" s="1" t="s">
        <v>27</v>
      </c>
      <c r="P928">
        <v>1</v>
      </c>
      <c r="Q928">
        <v>1</v>
      </c>
      <c r="R928">
        <v>11</v>
      </c>
      <c r="S928">
        <v>5</v>
      </c>
      <c r="T928">
        <v>0</v>
      </c>
      <c r="U928">
        <v>0</v>
      </c>
      <c r="V928">
        <v>11.56</v>
      </c>
    </row>
    <row r="929" spans="1:22">
      <c r="A929" s="1" t="s">
        <v>975</v>
      </c>
      <c r="B929" s="1" t="s">
        <v>23</v>
      </c>
      <c r="C929" s="2">
        <v>46268</v>
      </c>
      <c r="D929" s="3">
        <v>0.5625</v>
      </c>
      <c r="E929">
        <v>129</v>
      </c>
      <c r="F929">
        <v>123</v>
      </c>
      <c r="G929">
        <v>4</v>
      </c>
      <c r="H929" s="1" t="s">
        <v>24</v>
      </c>
      <c r="I929">
        <v>15</v>
      </c>
      <c r="J929">
        <v>16</v>
      </c>
      <c r="K929" s="1" t="s">
        <v>25</v>
      </c>
      <c r="L929" s="1" t="s">
        <v>56</v>
      </c>
      <c r="M929">
        <v>0</v>
      </c>
      <c r="N929">
        <v>0</v>
      </c>
      <c r="O929" s="1" t="s">
        <v>27</v>
      </c>
      <c r="P929">
        <v>1</v>
      </c>
      <c r="Q929">
        <v>1</v>
      </c>
      <c r="R929">
        <v>8</v>
      </c>
      <c r="S929">
        <v>13</v>
      </c>
      <c r="T929">
        <v>0</v>
      </c>
      <c r="U929">
        <v>0</v>
      </c>
      <c r="V929">
        <v>8.6</v>
      </c>
    </row>
    <row r="930" spans="1:22">
      <c r="A930" s="1" t="s">
        <v>976</v>
      </c>
      <c r="B930" s="1" t="s">
        <v>34</v>
      </c>
      <c r="C930" s="2">
        <v>46281</v>
      </c>
      <c r="D930" s="3">
        <v>0.28125</v>
      </c>
      <c r="E930">
        <v>115</v>
      </c>
      <c r="F930">
        <v>123</v>
      </c>
      <c r="G930">
        <v>4</v>
      </c>
      <c r="H930" s="1" t="s">
        <v>35</v>
      </c>
      <c r="I930">
        <v>12.2</v>
      </c>
      <c r="J930">
        <v>18</v>
      </c>
      <c r="K930" s="1" t="s">
        <v>36</v>
      </c>
      <c r="L930" s="1" t="s">
        <v>69</v>
      </c>
      <c r="M930">
        <v>0</v>
      </c>
      <c r="N930">
        <v>0</v>
      </c>
      <c r="O930" s="1" t="s">
        <v>27</v>
      </c>
      <c r="P930">
        <v>1</v>
      </c>
      <c r="Q930">
        <v>1</v>
      </c>
      <c r="R930">
        <v>14</v>
      </c>
      <c r="S930">
        <v>6</v>
      </c>
      <c r="T930">
        <v>0</v>
      </c>
      <c r="U930">
        <v>0</v>
      </c>
      <c r="V930">
        <v>9.43</v>
      </c>
    </row>
    <row r="931" spans="1:22">
      <c r="A931" s="1" t="s">
        <v>977</v>
      </c>
      <c r="B931" s="1" t="s">
        <v>34</v>
      </c>
      <c r="C931" s="2">
        <v>46271</v>
      </c>
      <c r="D931" s="3">
        <v>0.36458333333333331</v>
      </c>
      <c r="E931">
        <v>218</v>
      </c>
      <c r="F931">
        <v>219</v>
      </c>
      <c r="G931">
        <v>6</v>
      </c>
      <c r="H931" s="1" t="s">
        <v>35</v>
      </c>
      <c r="I931">
        <v>12.2</v>
      </c>
      <c r="J931">
        <v>18</v>
      </c>
      <c r="K931" s="1" t="s">
        <v>36</v>
      </c>
      <c r="L931" s="1" t="s">
        <v>38</v>
      </c>
      <c r="M931">
        <v>1</v>
      </c>
      <c r="N931">
        <v>0</v>
      </c>
      <c r="O931" s="1" t="s">
        <v>27</v>
      </c>
      <c r="P931">
        <v>1</v>
      </c>
      <c r="Q931">
        <v>1</v>
      </c>
      <c r="R931">
        <v>8</v>
      </c>
      <c r="S931">
        <v>8</v>
      </c>
      <c r="T931">
        <v>1</v>
      </c>
      <c r="U931">
        <v>0</v>
      </c>
      <c r="V931">
        <v>17.87</v>
      </c>
    </row>
    <row r="932" spans="1:22">
      <c r="A932" s="1" t="s">
        <v>978</v>
      </c>
      <c r="B932" s="1" t="s">
        <v>34</v>
      </c>
      <c r="C932" s="2">
        <v>46284</v>
      </c>
      <c r="D932" s="3">
        <v>0.9375</v>
      </c>
      <c r="E932">
        <v>177</v>
      </c>
      <c r="F932">
        <v>164</v>
      </c>
      <c r="G932">
        <v>6</v>
      </c>
      <c r="H932" s="1" t="s">
        <v>35</v>
      </c>
      <c r="I932">
        <v>12.2</v>
      </c>
      <c r="J932">
        <v>18</v>
      </c>
      <c r="K932" s="1" t="s">
        <v>36</v>
      </c>
      <c r="L932" s="1" t="s">
        <v>32</v>
      </c>
      <c r="M932">
        <v>1</v>
      </c>
      <c r="N932">
        <v>1</v>
      </c>
      <c r="O932" s="1" t="s">
        <v>27</v>
      </c>
      <c r="P932">
        <v>1</v>
      </c>
      <c r="Q932">
        <v>1</v>
      </c>
      <c r="R932">
        <v>4</v>
      </c>
      <c r="S932">
        <v>22</v>
      </c>
      <c r="T932">
        <v>0</v>
      </c>
      <c r="U932">
        <v>0</v>
      </c>
      <c r="V932">
        <v>14.51</v>
      </c>
    </row>
    <row r="933" spans="1:22">
      <c r="A933" s="1" t="s">
        <v>979</v>
      </c>
      <c r="B933" s="1" t="s">
        <v>45</v>
      </c>
      <c r="C933" s="2">
        <v>46295</v>
      </c>
      <c r="D933" s="3">
        <v>0.72916666666666663</v>
      </c>
      <c r="E933">
        <v>46</v>
      </c>
      <c r="F933">
        <v>45</v>
      </c>
      <c r="G933">
        <v>3</v>
      </c>
      <c r="H933" s="1" t="s">
        <v>46</v>
      </c>
      <c r="I933">
        <v>18.5</v>
      </c>
      <c r="J933">
        <v>22</v>
      </c>
      <c r="K933" s="1" t="s">
        <v>47</v>
      </c>
      <c r="L933" s="1" t="s">
        <v>69</v>
      </c>
      <c r="M933">
        <v>0</v>
      </c>
      <c r="N933">
        <v>0</v>
      </c>
      <c r="O933" s="1" t="s">
        <v>27</v>
      </c>
      <c r="P933">
        <v>1</v>
      </c>
      <c r="Q933">
        <v>1</v>
      </c>
      <c r="R933">
        <v>1</v>
      </c>
      <c r="S933">
        <v>17</v>
      </c>
      <c r="T933">
        <v>1</v>
      </c>
      <c r="U933">
        <v>0</v>
      </c>
      <c r="V933">
        <v>2.4900000000000002</v>
      </c>
    </row>
    <row r="934" spans="1:22">
      <c r="A934" s="1" t="s">
        <v>980</v>
      </c>
      <c r="B934" s="1" t="s">
        <v>45</v>
      </c>
      <c r="C934" s="2">
        <v>46272</v>
      </c>
      <c r="D934" s="3">
        <v>0.88541666666666663</v>
      </c>
      <c r="E934">
        <v>136</v>
      </c>
      <c r="F934">
        <v>144</v>
      </c>
      <c r="G934">
        <v>6</v>
      </c>
      <c r="H934" s="1" t="s">
        <v>46</v>
      </c>
      <c r="I934">
        <v>18.5</v>
      </c>
      <c r="J934">
        <v>22</v>
      </c>
      <c r="K934" s="1" t="s">
        <v>47</v>
      </c>
      <c r="L934" s="1" t="s">
        <v>65</v>
      </c>
      <c r="M934">
        <v>0</v>
      </c>
      <c r="N934">
        <v>0</v>
      </c>
      <c r="O934" s="1" t="s">
        <v>27</v>
      </c>
      <c r="P934">
        <v>1</v>
      </c>
      <c r="Q934">
        <v>1</v>
      </c>
      <c r="R934">
        <v>1</v>
      </c>
      <c r="S934">
        <v>21</v>
      </c>
      <c r="T934">
        <v>0</v>
      </c>
      <c r="U934">
        <v>0</v>
      </c>
      <c r="V934">
        <v>7.35</v>
      </c>
    </row>
    <row r="935" spans="1:22">
      <c r="A935" s="1" t="s">
        <v>981</v>
      </c>
      <c r="B935" s="1" t="s">
        <v>29</v>
      </c>
      <c r="C935" s="2">
        <v>46275</v>
      </c>
      <c r="D935" s="3">
        <v>0.86458333333333337</v>
      </c>
      <c r="E935">
        <v>71</v>
      </c>
      <c r="F935">
        <v>77</v>
      </c>
      <c r="G935">
        <v>5</v>
      </c>
      <c r="H935" s="1" t="s">
        <v>30</v>
      </c>
      <c r="I935">
        <v>32</v>
      </c>
      <c r="J935">
        <v>14</v>
      </c>
      <c r="K935" s="1" t="s">
        <v>31</v>
      </c>
      <c r="L935" s="1" t="s">
        <v>56</v>
      </c>
      <c r="M935">
        <v>0</v>
      </c>
      <c r="N935">
        <v>0</v>
      </c>
      <c r="O935" s="1" t="s">
        <v>27</v>
      </c>
      <c r="P935">
        <v>1</v>
      </c>
      <c r="Q935">
        <v>1</v>
      </c>
      <c r="R935">
        <v>0</v>
      </c>
      <c r="S935">
        <v>20</v>
      </c>
      <c r="T935">
        <v>0</v>
      </c>
      <c r="U935">
        <v>0</v>
      </c>
      <c r="V935">
        <v>2.2200000000000002</v>
      </c>
    </row>
    <row r="936" spans="1:22">
      <c r="A936" s="1" t="s">
        <v>982</v>
      </c>
      <c r="B936" s="1" t="s">
        <v>45</v>
      </c>
      <c r="C936" s="2">
        <v>46274</v>
      </c>
      <c r="D936" s="3">
        <v>0.6875</v>
      </c>
      <c r="E936">
        <v>48</v>
      </c>
      <c r="F936">
        <v>51</v>
      </c>
      <c r="G936">
        <v>4</v>
      </c>
      <c r="H936" s="1" t="s">
        <v>46</v>
      </c>
      <c r="I936">
        <v>18.5</v>
      </c>
      <c r="J936">
        <v>22</v>
      </c>
      <c r="K936" s="1" t="s">
        <v>47</v>
      </c>
      <c r="L936" s="1" t="s">
        <v>69</v>
      </c>
      <c r="M936">
        <v>0</v>
      </c>
      <c r="N936">
        <v>0</v>
      </c>
      <c r="O936" s="1" t="s">
        <v>27</v>
      </c>
      <c r="P936">
        <v>1</v>
      </c>
      <c r="Q936">
        <v>1</v>
      </c>
      <c r="R936">
        <v>2</v>
      </c>
      <c r="S936">
        <v>16</v>
      </c>
      <c r="T936">
        <v>0</v>
      </c>
      <c r="U936">
        <v>0</v>
      </c>
      <c r="V936">
        <v>2.59</v>
      </c>
    </row>
    <row r="937" spans="1:22">
      <c r="A937" s="1" t="s">
        <v>983</v>
      </c>
      <c r="B937" s="1" t="s">
        <v>34</v>
      </c>
      <c r="C937" s="2">
        <v>46267</v>
      </c>
      <c r="D937" s="3">
        <v>0.375</v>
      </c>
      <c r="E937">
        <v>56</v>
      </c>
      <c r="F937">
        <v>51</v>
      </c>
      <c r="G937">
        <v>3</v>
      </c>
      <c r="H937" s="1" t="s">
        <v>35</v>
      </c>
      <c r="I937">
        <v>12.2</v>
      </c>
      <c r="J937">
        <v>18</v>
      </c>
      <c r="K937" s="1" t="s">
        <v>36</v>
      </c>
      <c r="L937" s="1" t="s">
        <v>69</v>
      </c>
      <c r="M937">
        <v>0</v>
      </c>
      <c r="N937">
        <v>0</v>
      </c>
      <c r="O937" s="1" t="s">
        <v>27</v>
      </c>
      <c r="P937">
        <v>1</v>
      </c>
      <c r="Q937">
        <v>1</v>
      </c>
      <c r="R937">
        <v>9</v>
      </c>
      <c r="S937">
        <v>9</v>
      </c>
      <c r="T937">
        <v>1</v>
      </c>
      <c r="U937">
        <v>0</v>
      </c>
      <c r="V937">
        <v>4.59</v>
      </c>
    </row>
    <row r="938" spans="1:22">
      <c r="A938" s="1" t="s">
        <v>984</v>
      </c>
      <c r="B938" s="1" t="s">
        <v>59</v>
      </c>
      <c r="C938" s="2">
        <v>46293</v>
      </c>
      <c r="D938" s="3">
        <v>0.23958333333333334</v>
      </c>
      <c r="E938">
        <v>148</v>
      </c>
      <c r="F938">
        <v>145</v>
      </c>
      <c r="G938">
        <v>5</v>
      </c>
      <c r="H938" s="1" t="s">
        <v>60</v>
      </c>
      <c r="I938">
        <v>24.8</v>
      </c>
      <c r="J938">
        <v>28</v>
      </c>
      <c r="K938" s="1" t="s">
        <v>61</v>
      </c>
      <c r="L938" s="1" t="s">
        <v>65</v>
      </c>
      <c r="M938">
        <v>0</v>
      </c>
      <c r="N938">
        <v>0</v>
      </c>
      <c r="O938" s="1" t="s">
        <v>27</v>
      </c>
      <c r="P938">
        <v>1</v>
      </c>
      <c r="Q938">
        <v>1</v>
      </c>
      <c r="R938">
        <v>14</v>
      </c>
      <c r="S938">
        <v>5</v>
      </c>
      <c r="T938">
        <v>0</v>
      </c>
      <c r="U938">
        <v>0</v>
      </c>
      <c r="V938">
        <v>5.97</v>
      </c>
    </row>
    <row r="939" spans="1:22">
      <c r="A939" s="1" t="s">
        <v>985</v>
      </c>
      <c r="B939" s="1" t="s">
        <v>45</v>
      </c>
      <c r="C939" s="2">
        <v>46293</v>
      </c>
      <c r="D939" s="3">
        <v>0.60416666666666663</v>
      </c>
      <c r="E939">
        <v>53</v>
      </c>
      <c r="F939">
        <v>48</v>
      </c>
      <c r="G939">
        <v>3</v>
      </c>
      <c r="H939" s="1" t="s">
        <v>46</v>
      </c>
      <c r="I939">
        <v>18.5</v>
      </c>
      <c r="J939">
        <v>22</v>
      </c>
      <c r="K939" s="1" t="s">
        <v>47</v>
      </c>
      <c r="L939" s="1" t="s">
        <v>65</v>
      </c>
      <c r="M939">
        <v>0</v>
      </c>
      <c r="N939">
        <v>0</v>
      </c>
      <c r="O939" s="1" t="s">
        <v>27</v>
      </c>
      <c r="P939">
        <v>1</v>
      </c>
      <c r="Q939">
        <v>1</v>
      </c>
      <c r="R939">
        <v>10</v>
      </c>
      <c r="S939">
        <v>14</v>
      </c>
      <c r="T939">
        <v>0</v>
      </c>
      <c r="U939">
        <v>0</v>
      </c>
      <c r="V939">
        <v>2.86</v>
      </c>
    </row>
    <row r="940" spans="1:22">
      <c r="A940" s="1" t="s">
        <v>986</v>
      </c>
      <c r="B940" s="1" t="s">
        <v>59</v>
      </c>
      <c r="C940" s="2">
        <v>46280</v>
      </c>
      <c r="D940" s="3">
        <v>0.625</v>
      </c>
      <c r="E940">
        <v>106</v>
      </c>
      <c r="F940">
        <v>98</v>
      </c>
      <c r="G940">
        <v>5</v>
      </c>
      <c r="H940" s="1" t="s">
        <v>60</v>
      </c>
      <c r="I940">
        <v>24.8</v>
      </c>
      <c r="J940">
        <v>28</v>
      </c>
      <c r="K940" s="1" t="s">
        <v>61</v>
      </c>
      <c r="L940" s="1" t="s">
        <v>26</v>
      </c>
      <c r="M940">
        <v>0</v>
      </c>
      <c r="N940">
        <v>0</v>
      </c>
      <c r="O940" s="1" t="s">
        <v>27</v>
      </c>
      <c r="P940">
        <v>1</v>
      </c>
      <c r="Q940">
        <v>1</v>
      </c>
      <c r="R940">
        <v>12</v>
      </c>
      <c r="S940">
        <v>15</v>
      </c>
      <c r="T940">
        <v>0</v>
      </c>
      <c r="U940">
        <v>0</v>
      </c>
      <c r="V940">
        <v>4.2699999999999996</v>
      </c>
    </row>
    <row r="941" spans="1:22">
      <c r="A941" s="1" t="s">
        <v>987</v>
      </c>
      <c r="B941" s="1" t="s">
        <v>45</v>
      </c>
      <c r="C941" s="2">
        <v>46295</v>
      </c>
      <c r="D941" s="3">
        <v>0.375</v>
      </c>
      <c r="E941">
        <v>110</v>
      </c>
      <c r="F941">
        <v>112</v>
      </c>
      <c r="G941">
        <v>4</v>
      </c>
      <c r="H941" s="1" t="s">
        <v>46</v>
      </c>
      <c r="I941">
        <v>18.5</v>
      </c>
      <c r="J941">
        <v>22</v>
      </c>
      <c r="K941" s="1" t="s">
        <v>47</v>
      </c>
      <c r="L941" s="1" t="s">
        <v>69</v>
      </c>
      <c r="M941">
        <v>0</v>
      </c>
      <c r="N941">
        <v>0</v>
      </c>
      <c r="O941" s="1" t="s">
        <v>27</v>
      </c>
      <c r="P941">
        <v>1</v>
      </c>
      <c r="Q941">
        <v>1</v>
      </c>
      <c r="R941">
        <v>10</v>
      </c>
      <c r="S941">
        <v>9</v>
      </c>
      <c r="T941">
        <v>1</v>
      </c>
      <c r="U941">
        <v>0</v>
      </c>
      <c r="V941">
        <v>5.95</v>
      </c>
    </row>
    <row r="942" spans="1:22">
      <c r="A942" s="1" t="s">
        <v>988</v>
      </c>
      <c r="B942" s="1" t="s">
        <v>29</v>
      </c>
      <c r="C942" s="2">
        <v>46270</v>
      </c>
      <c r="D942" s="3">
        <v>0.6875</v>
      </c>
      <c r="E942">
        <v>79</v>
      </c>
      <c r="F942">
        <v>80</v>
      </c>
      <c r="G942">
        <v>4</v>
      </c>
      <c r="H942" s="1" t="s">
        <v>30</v>
      </c>
      <c r="I942">
        <v>32</v>
      </c>
      <c r="J942">
        <v>14</v>
      </c>
      <c r="K942" s="1" t="s">
        <v>31</v>
      </c>
      <c r="L942" s="1" t="s">
        <v>32</v>
      </c>
      <c r="M942">
        <v>1</v>
      </c>
      <c r="N942">
        <v>1</v>
      </c>
      <c r="O942" s="1" t="s">
        <v>27</v>
      </c>
      <c r="P942">
        <v>1</v>
      </c>
      <c r="Q942">
        <v>1</v>
      </c>
      <c r="R942">
        <v>2</v>
      </c>
      <c r="S942">
        <v>16</v>
      </c>
      <c r="T942">
        <v>0</v>
      </c>
      <c r="U942">
        <v>0</v>
      </c>
      <c r="V942">
        <v>2.4700000000000002</v>
      </c>
    </row>
    <row r="943" spans="1:22">
      <c r="A943" s="1" t="s">
        <v>989</v>
      </c>
      <c r="B943" s="1" t="s">
        <v>34</v>
      </c>
      <c r="C943" s="2">
        <v>46294</v>
      </c>
      <c r="D943" s="3">
        <v>0.90625</v>
      </c>
      <c r="E943">
        <v>86</v>
      </c>
      <c r="F943">
        <v>81</v>
      </c>
      <c r="G943">
        <v>4</v>
      </c>
      <c r="H943" s="1" t="s">
        <v>35</v>
      </c>
      <c r="I943">
        <v>12.2</v>
      </c>
      <c r="J943">
        <v>18</v>
      </c>
      <c r="K943" s="1" t="s">
        <v>36</v>
      </c>
      <c r="L943" s="1" t="s">
        <v>26</v>
      </c>
      <c r="M943">
        <v>0</v>
      </c>
      <c r="N943">
        <v>0</v>
      </c>
      <c r="O943" s="1" t="s">
        <v>27</v>
      </c>
      <c r="P943">
        <v>1</v>
      </c>
      <c r="Q943">
        <v>1</v>
      </c>
      <c r="R943">
        <v>4</v>
      </c>
      <c r="S943">
        <v>21</v>
      </c>
      <c r="T943">
        <v>0</v>
      </c>
      <c r="U943">
        <v>0</v>
      </c>
      <c r="V943">
        <v>7.05</v>
      </c>
    </row>
    <row r="944" spans="1:22">
      <c r="A944" s="1" t="s">
        <v>990</v>
      </c>
      <c r="B944" s="1" t="s">
        <v>34</v>
      </c>
      <c r="C944" s="2">
        <v>46287</v>
      </c>
      <c r="D944" s="3">
        <v>0.79166666666666663</v>
      </c>
      <c r="E944">
        <v>95</v>
      </c>
      <c r="F944">
        <v>87</v>
      </c>
      <c r="G944">
        <v>3</v>
      </c>
      <c r="H944" s="1" t="s">
        <v>35</v>
      </c>
      <c r="I944">
        <v>12.2</v>
      </c>
      <c r="J944">
        <v>18</v>
      </c>
      <c r="K944" s="1" t="s">
        <v>36</v>
      </c>
      <c r="L944" s="1" t="s">
        <v>26</v>
      </c>
      <c r="M944">
        <v>0</v>
      </c>
      <c r="N944">
        <v>0</v>
      </c>
      <c r="O944" s="1" t="s">
        <v>27</v>
      </c>
      <c r="P944">
        <v>1</v>
      </c>
      <c r="Q944">
        <v>1</v>
      </c>
      <c r="R944">
        <v>3</v>
      </c>
      <c r="S944">
        <v>19</v>
      </c>
      <c r="T944">
        <v>1</v>
      </c>
      <c r="U944">
        <v>0</v>
      </c>
      <c r="V944">
        <v>7.79</v>
      </c>
    </row>
    <row r="945" spans="1:22">
      <c r="A945" s="1" t="s">
        <v>991</v>
      </c>
      <c r="B945" s="1" t="s">
        <v>29</v>
      </c>
      <c r="C945" s="2">
        <v>46269</v>
      </c>
      <c r="D945" s="3">
        <v>0.54166666666666663</v>
      </c>
      <c r="E945">
        <v>123</v>
      </c>
      <c r="F945">
        <v>114</v>
      </c>
      <c r="G945">
        <v>6</v>
      </c>
      <c r="H945" s="1" t="s">
        <v>30</v>
      </c>
      <c r="I945">
        <v>32</v>
      </c>
      <c r="J945">
        <v>14</v>
      </c>
      <c r="K945" s="1" t="s">
        <v>31</v>
      </c>
      <c r="L945" s="1" t="s">
        <v>49</v>
      </c>
      <c r="M945">
        <v>0</v>
      </c>
      <c r="N945">
        <v>0</v>
      </c>
      <c r="O945" s="1" t="s">
        <v>27</v>
      </c>
      <c r="P945">
        <v>1</v>
      </c>
      <c r="Q945">
        <v>1</v>
      </c>
      <c r="R945">
        <v>8</v>
      </c>
      <c r="S945">
        <v>13</v>
      </c>
      <c r="T945">
        <v>0</v>
      </c>
      <c r="U945">
        <v>0</v>
      </c>
      <c r="V945">
        <v>3.84</v>
      </c>
    </row>
    <row r="946" spans="1:22">
      <c r="A946" s="1" t="s">
        <v>992</v>
      </c>
      <c r="B946" s="1" t="s">
        <v>59</v>
      </c>
      <c r="C946" s="2">
        <v>46285</v>
      </c>
      <c r="D946" s="3">
        <v>0.66666666666666663</v>
      </c>
      <c r="E946">
        <v>123</v>
      </c>
      <c r="F946">
        <v>125</v>
      </c>
      <c r="G946">
        <v>4</v>
      </c>
      <c r="H946" s="1" t="s">
        <v>60</v>
      </c>
      <c r="I946">
        <v>24.8</v>
      </c>
      <c r="J946">
        <v>28</v>
      </c>
      <c r="K946" s="1" t="s">
        <v>61</v>
      </c>
      <c r="L946" s="1" t="s">
        <v>38</v>
      </c>
      <c r="M946">
        <v>1</v>
      </c>
      <c r="N946">
        <v>0</v>
      </c>
      <c r="O946" s="1" t="s">
        <v>52</v>
      </c>
      <c r="P946">
        <v>1</v>
      </c>
      <c r="Q946">
        <v>1</v>
      </c>
      <c r="R946">
        <v>0</v>
      </c>
      <c r="S946">
        <v>16</v>
      </c>
      <c r="T946">
        <v>0</v>
      </c>
      <c r="U946">
        <v>1</v>
      </c>
      <c r="V946">
        <v>4.96</v>
      </c>
    </row>
    <row r="947" spans="1:22">
      <c r="A947" s="1" t="s">
        <v>993</v>
      </c>
      <c r="B947" s="1" t="s">
        <v>45</v>
      </c>
      <c r="C947" s="2">
        <v>46269</v>
      </c>
      <c r="D947" s="3">
        <v>0.58333333333333337</v>
      </c>
      <c r="E947">
        <v>61</v>
      </c>
      <c r="F947">
        <v>62</v>
      </c>
      <c r="G947">
        <v>4</v>
      </c>
      <c r="H947" s="1" t="s">
        <v>46</v>
      </c>
      <c r="I947">
        <v>18.5</v>
      </c>
      <c r="J947">
        <v>22</v>
      </c>
      <c r="K947" s="1" t="s">
        <v>47</v>
      </c>
      <c r="L947" s="1" t="s">
        <v>49</v>
      </c>
      <c r="M947">
        <v>0</v>
      </c>
      <c r="N947">
        <v>0</v>
      </c>
      <c r="O947" s="1" t="s">
        <v>27</v>
      </c>
      <c r="P947">
        <v>1</v>
      </c>
      <c r="Q947">
        <v>1</v>
      </c>
      <c r="R947">
        <v>12</v>
      </c>
      <c r="S947">
        <v>14</v>
      </c>
      <c r="T947">
        <v>0</v>
      </c>
      <c r="U947">
        <v>0</v>
      </c>
      <c r="V947">
        <v>3.3</v>
      </c>
    </row>
    <row r="948" spans="1:22">
      <c r="A948" s="1" t="s">
        <v>994</v>
      </c>
      <c r="B948" s="1" t="s">
        <v>45</v>
      </c>
      <c r="C948" s="2">
        <v>46283</v>
      </c>
      <c r="D948" s="3">
        <v>0.38541666666666669</v>
      </c>
      <c r="E948">
        <v>50</v>
      </c>
      <c r="F948">
        <v>41</v>
      </c>
      <c r="G948">
        <v>4</v>
      </c>
      <c r="H948" s="1" t="s">
        <v>46</v>
      </c>
      <c r="I948">
        <v>18.5</v>
      </c>
      <c r="J948">
        <v>22</v>
      </c>
      <c r="K948" s="1" t="s">
        <v>47</v>
      </c>
      <c r="L948" s="1" t="s">
        <v>49</v>
      </c>
      <c r="M948">
        <v>0</v>
      </c>
      <c r="N948">
        <v>0</v>
      </c>
      <c r="O948" s="1" t="s">
        <v>27</v>
      </c>
      <c r="P948">
        <v>1</v>
      </c>
      <c r="Q948">
        <v>1</v>
      </c>
      <c r="R948">
        <v>4</v>
      </c>
      <c r="S948">
        <v>9</v>
      </c>
      <c r="T948">
        <v>1</v>
      </c>
      <c r="U948">
        <v>0</v>
      </c>
      <c r="V948">
        <v>2.7</v>
      </c>
    </row>
    <row r="949" spans="1:22">
      <c r="A949" s="1" t="s">
        <v>995</v>
      </c>
      <c r="B949" s="1" t="s">
        <v>45</v>
      </c>
      <c r="C949" s="2">
        <v>46269</v>
      </c>
      <c r="D949" s="3">
        <v>0.85416666666666663</v>
      </c>
      <c r="E949">
        <v>107</v>
      </c>
      <c r="F949">
        <v>101</v>
      </c>
      <c r="G949">
        <v>5</v>
      </c>
      <c r="H949" s="1" t="s">
        <v>46</v>
      </c>
      <c r="I949">
        <v>18.5</v>
      </c>
      <c r="J949">
        <v>22</v>
      </c>
      <c r="K949" s="1" t="s">
        <v>47</v>
      </c>
      <c r="L949" s="1" t="s">
        <v>49</v>
      </c>
      <c r="M949">
        <v>0</v>
      </c>
      <c r="N949">
        <v>0</v>
      </c>
      <c r="O949" s="1" t="s">
        <v>27</v>
      </c>
      <c r="P949">
        <v>1</v>
      </c>
      <c r="Q949">
        <v>1</v>
      </c>
      <c r="R949">
        <v>3</v>
      </c>
      <c r="S949">
        <v>20</v>
      </c>
      <c r="T949">
        <v>0</v>
      </c>
      <c r="U949">
        <v>0</v>
      </c>
      <c r="V949">
        <v>5.78</v>
      </c>
    </row>
    <row r="950" spans="1:22">
      <c r="A950" s="1" t="s">
        <v>996</v>
      </c>
      <c r="B950" s="1" t="s">
        <v>29</v>
      </c>
      <c r="C950" s="2">
        <v>46292</v>
      </c>
      <c r="D950" s="3">
        <v>0.5625</v>
      </c>
      <c r="E950">
        <v>57</v>
      </c>
      <c r="F950">
        <v>61</v>
      </c>
      <c r="G950">
        <v>5</v>
      </c>
      <c r="H950" s="1" t="s">
        <v>30</v>
      </c>
      <c r="I950">
        <v>32</v>
      </c>
      <c r="J950">
        <v>14</v>
      </c>
      <c r="K950" s="1" t="s">
        <v>31</v>
      </c>
      <c r="L950" s="1" t="s">
        <v>38</v>
      </c>
      <c r="M950">
        <v>1</v>
      </c>
      <c r="N950">
        <v>0</v>
      </c>
      <c r="O950" s="1" t="s">
        <v>134</v>
      </c>
      <c r="P950">
        <v>1</v>
      </c>
      <c r="Q950">
        <v>1</v>
      </c>
      <c r="R950">
        <v>0</v>
      </c>
      <c r="S950">
        <v>13</v>
      </c>
      <c r="T950">
        <v>0</v>
      </c>
      <c r="U950">
        <v>1</v>
      </c>
      <c r="V950">
        <v>1.78</v>
      </c>
    </row>
    <row r="951" spans="1:22">
      <c r="A951" s="1" t="s">
        <v>997</v>
      </c>
      <c r="B951" s="1" t="s">
        <v>23</v>
      </c>
      <c r="C951" s="2">
        <v>46282</v>
      </c>
      <c r="D951" s="3">
        <v>0.82291666666666663</v>
      </c>
      <c r="E951">
        <v>138</v>
      </c>
      <c r="F951">
        <v>134</v>
      </c>
      <c r="G951">
        <v>4</v>
      </c>
      <c r="H951" s="1" t="s">
        <v>24</v>
      </c>
      <c r="I951">
        <v>15</v>
      </c>
      <c r="J951">
        <v>16</v>
      </c>
      <c r="K951" s="1" t="s">
        <v>25</v>
      </c>
      <c r="L951" s="1" t="s">
        <v>56</v>
      </c>
      <c r="M951">
        <v>0</v>
      </c>
      <c r="N951">
        <v>0</v>
      </c>
      <c r="O951" s="1" t="s">
        <v>27</v>
      </c>
      <c r="P951">
        <v>1</v>
      </c>
      <c r="Q951">
        <v>1</v>
      </c>
      <c r="R951">
        <v>1</v>
      </c>
      <c r="S951">
        <v>19</v>
      </c>
      <c r="T951">
        <v>1</v>
      </c>
      <c r="U951">
        <v>0</v>
      </c>
      <c r="V951">
        <v>9.1999999999999993</v>
      </c>
    </row>
    <row r="952" spans="1:22">
      <c r="A952" s="1" t="s">
        <v>998</v>
      </c>
      <c r="B952" s="1" t="s">
        <v>23</v>
      </c>
      <c r="C952" s="2">
        <v>46277</v>
      </c>
      <c r="D952" s="3">
        <v>0.94791666666666663</v>
      </c>
      <c r="E952">
        <v>81</v>
      </c>
      <c r="F952">
        <v>85</v>
      </c>
      <c r="G952">
        <v>7</v>
      </c>
      <c r="H952" s="1" t="s">
        <v>24</v>
      </c>
      <c r="I952">
        <v>15</v>
      </c>
      <c r="J952">
        <v>16</v>
      </c>
      <c r="K952" s="1" t="s">
        <v>25</v>
      </c>
      <c r="L952" s="1" t="s">
        <v>32</v>
      </c>
      <c r="M952">
        <v>1</v>
      </c>
      <c r="N952">
        <v>0</v>
      </c>
      <c r="O952" s="1" t="s">
        <v>40</v>
      </c>
      <c r="P952">
        <v>1</v>
      </c>
      <c r="Q952">
        <v>0</v>
      </c>
      <c r="R952">
        <v>6</v>
      </c>
      <c r="S952">
        <v>22</v>
      </c>
      <c r="T952">
        <v>0</v>
      </c>
      <c r="U952">
        <v>1</v>
      </c>
      <c r="V952">
        <v>5.4</v>
      </c>
    </row>
    <row r="953" spans="1:22">
      <c r="A953" s="1" t="s">
        <v>999</v>
      </c>
      <c r="B953" s="1" t="s">
        <v>45</v>
      </c>
      <c r="C953" s="2">
        <v>46287</v>
      </c>
      <c r="D953" s="3">
        <v>0.77083333333333337</v>
      </c>
      <c r="E953">
        <v>105</v>
      </c>
      <c r="F953">
        <v>101</v>
      </c>
      <c r="G953">
        <v>5</v>
      </c>
      <c r="H953" s="1" t="s">
        <v>46</v>
      </c>
      <c r="I953">
        <v>18.5</v>
      </c>
      <c r="J953">
        <v>22</v>
      </c>
      <c r="K953" s="1" t="s">
        <v>47</v>
      </c>
      <c r="L953" s="1" t="s">
        <v>26</v>
      </c>
      <c r="M953">
        <v>0</v>
      </c>
      <c r="N953">
        <v>0</v>
      </c>
      <c r="O953" s="1" t="s">
        <v>27</v>
      </c>
      <c r="P953">
        <v>1</v>
      </c>
      <c r="Q953">
        <v>1</v>
      </c>
      <c r="R953">
        <v>4</v>
      </c>
      <c r="S953">
        <v>18</v>
      </c>
      <c r="T953">
        <v>1</v>
      </c>
      <c r="U953">
        <v>0</v>
      </c>
      <c r="V953">
        <v>5.68</v>
      </c>
    </row>
    <row r="954" spans="1:22">
      <c r="A954" s="1" t="s">
        <v>1000</v>
      </c>
      <c r="B954" s="1" t="s">
        <v>45</v>
      </c>
      <c r="C954" s="2">
        <v>46282</v>
      </c>
      <c r="D954" s="3">
        <v>0.66666666666666663</v>
      </c>
      <c r="E954">
        <v>188</v>
      </c>
      <c r="F954">
        <v>188</v>
      </c>
      <c r="G954">
        <v>6</v>
      </c>
      <c r="H954" s="1" t="s">
        <v>46</v>
      </c>
      <c r="I954">
        <v>18.5</v>
      </c>
      <c r="J954">
        <v>22</v>
      </c>
      <c r="K954" s="1" t="s">
        <v>47</v>
      </c>
      <c r="L954" s="1" t="s">
        <v>56</v>
      </c>
      <c r="M954">
        <v>0</v>
      </c>
      <c r="N954">
        <v>0</v>
      </c>
      <c r="O954" s="1" t="s">
        <v>27</v>
      </c>
      <c r="P954">
        <v>1</v>
      </c>
      <c r="Q954">
        <v>1</v>
      </c>
      <c r="R954">
        <v>1</v>
      </c>
      <c r="S954">
        <v>16</v>
      </c>
      <c r="T954">
        <v>0</v>
      </c>
      <c r="U954">
        <v>0</v>
      </c>
      <c r="V954">
        <v>10.16</v>
      </c>
    </row>
    <row r="955" spans="1:22">
      <c r="A955" s="1" t="s">
        <v>1001</v>
      </c>
      <c r="B955" s="1" t="s">
        <v>45</v>
      </c>
      <c r="C955" s="2">
        <v>46275</v>
      </c>
      <c r="D955" s="3">
        <v>0.45833333333333331</v>
      </c>
      <c r="E955">
        <v>52</v>
      </c>
      <c r="F955">
        <v>52</v>
      </c>
      <c r="G955">
        <v>5</v>
      </c>
      <c r="H955" s="1" t="s">
        <v>46</v>
      </c>
      <c r="I955">
        <v>18.5</v>
      </c>
      <c r="J955">
        <v>22</v>
      </c>
      <c r="K955" s="1" t="s">
        <v>47</v>
      </c>
      <c r="L955" s="1" t="s">
        <v>56</v>
      </c>
      <c r="M955">
        <v>0</v>
      </c>
      <c r="N955">
        <v>0</v>
      </c>
      <c r="O955" s="1" t="s">
        <v>27</v>
      </c>
      <c r="P955">
        <v>1</v>
      </c>
      <c r="Q955">
        <v>1</v>
      </c>
      <c r="R955">
        <v>5</v>
      </c>
      <c r="S955">
        <v>11</v>
      </c>
      <c r="T955">
        <v>0</v>
      </c>
      <c r="U955">
        <v>0</v>
      </c>
      <c r="V955">
        <v>2.81</v>
      </c>
    </row>
    <row r="956" spans="1:22">
      <c r="A956" s="1" t="s">
        <v>1002</v>
      </c>
      <c r="B956" s="1" t="s">
        <v>59</v>
      </c>
      <c r="C956" s="2">
        <v>46287</v>
      </c>
      <c r="D956" s="3">
        <v>0.71875</v>
      </c>
      <c r="E956">
        <v>100</v>
      </c>
      <c r="F956">
        <v>106</v>
      </c>
      <c r="G956">
        <v>5</v>
      </c>
      <c r="H956" s="1" t="s">
        <v>60</v>
      </c>
      <c r="I956">
        <v>24.8</v>
      </c>
      <c r="J956">
        <v>28</v>
      </c>
      <c r="K956" s="1" t="s">
        <v>61</v>
      </c>
      <c r="L956" s="1" t="s">
        <v>26</v>
      </c>
      <c r="M956">
        <v>0</v>
      </c>
      <c r="N956">
        <v>0</v>
      </c>
      <c r="O956" s="1" t="s">
        <v>27</v>
      </c>
      <c r="P956">
        <v>1</v>
      </c>
      <c r="Q956">
        <v>1</v>
      </c>
      <c r="R956">
        <v>2</v>
      </c>
      <c r="S956">
        <v>17</v>
      </c>
      <c r="T956">
        <v>1</v>
      </c>
      <c r="U956">
        <v>0</v>
      </c>
      <c r="V956">
        <v>4.03</v>
      </c>
    </row>
    <row r="957" spans="1:22">
      <c r="A957" s="1" t="s">
        <v>1003</v>
      </c>
      <c r="B957" s="1" t="s">
        <v>59</v>
      </c>
      <c r="C957" s="2">
        <v>46266</v>
      </c>
      <c r="D957" s="3">
        <v>0.375</v>
      </c>
      <c r="E957">
        <v>51</v>
      </c>
      <c r="F957">
        <v>39</v>
      </c>
      <c r="G957">
        <v>3</v>
      </c>
      <c r="H957" s="1" t="s">
        <v>60</v>
      </c>
      <c r="I957">
        <v>24.8</v>
      </c>
      <c r="J957">
        <v>28</v>
      </c>
      <c r="K957" s="1" t="s">
        <v>61</v>
      </c>
      <c r="L957" s="1" t="s">
        <v>26</v>
      </c>
      <c r="M957">
        <v>0</v>
      </c>
      <c r="N957">
        <v>0</v>
      </c>
      <c r="O957" s="1" t="s">
        <v>27</v>
      </c>
      <c r="P957">
        <v>1</v>
      </c>
      <c r="Q957">
        <v>1</v>
      </c>
      <c r="R957">
        <v>0</v>
      </c>
      <c r="S957">
        <v>9</v>
      </c>
      <c r="T957">
        <v>1</v>
      </c>
      <c r="U957">
        <v>0</v>
      </c>
      <c r="V957">
        <v>2.06</v>
      </c>
    </row>
    <row r="958" spans="1:22">
      <c r="A958" s="1" t="s">
        <v>1004</v>
      </c>
      <c r="B958" s="1" t="s">
        <v>29</v>
      </c>
      <c r="C958" s="2">
        <v>46287</v>
      </c>
      <c r="D958" s="3">
        <v>0.35416666666666669</v>
      </c>
      <c r="E958">
        <v>144</v>
      </c>
      <c r="F958">
        <v>137</v>
      </c>
      <c r="G958">
        <v>6</v>
      </c>
      <c r="H958" s="1" t="s">
        <v>30</v>
      </c>
      <c r="I958">
        <v>32</v>
      </c>
      <c r="J958">
        <v>14</v>
      </c>
      <c r="K958" s="1" t="s">
        <v>31</v>
      </c>
      <c r="L958" s="1" t="s">
        <v>26</v>
      </c>
      <c r="M958">
        <v>0</v>
      </c>
      <c r="N958">
        <v>0</v>
      </c>
      <c r="O958" s="1" t="s">
        <v>27</v>
      </c>
      <c r="P958">
        <v>1</v>
      </c>
      <c r="Q958">
        <v>1</v>
      </c>
      <c r="R958">
        <v>5</v>
      </c>
      <c r="S958">
        <v>8</v>
      </c>
      <c r="T958">
        <v>1</v>
      </c>
      <c r="U958">
        <v>0</v>
      </c>
      <c r="V958">
        <v>4.5</v>
      </c>
    </row>
    <row r="959" spans="1:22">
      <c r="A959" s="1" t="s">
        <v>1005</v>
      </c>
      <c r="B959" s="1" t="s">
        <v>29</v>
      </c>
      <c r="C959" s="2">
        <v>46291</v>
      </c>
      <c r="D959" s="3">
        <v>0.28125</v>
      </c>
      <c r="E959">
        <v>107</v>
      </c>
      <c r="F959">
        <v>100</v>
      </c>
      <c r="G959">
        <v>5</v>
      </c>
      <c r="H959" s="1" t="s">
        <v>30</v>
      </c>
      <c r="I959">
        <v>32</v>
      </c>
      <c r="J959">
        <v>14</v>
      </c>
      <c r="K959" s="1" t="s">
        <v>31</v>
      </c>
      <c r="L959" s="1" t="s">
        <v>32</v>
      </c>
      <c r="M959">
        <v>1</v>
      </c>
      <c r="N959">
        <v>0</v>
      </c>
      <c r="O959" s="1" t="s">
        <v>27</v>
      </c>
      <c r="P959">
        <v>1</v>
      </c>
      <c r="Q959">
        <v>1</v>
      </c>
      <c r="R959">
        <v>12</v>
      </c>
      <c r="S959">
        <v>6</v>
      </c>
      <c r="T959">
        <v>0</v>
      </c>
      <c r="U959">
        <v>0</v>
      </c>
      <c r="V959">
        <v>3.34</v>
      </c>
    </row>
    <row r="960" spans="1:22">
      <c r="A960" s="1" t="s">
        <v>1006</v>
      </c>
      <c r="B960" s="1" t="s">
        <v>45</v>
      </c>
      <c r="C960" s="2">
        <v>46289</v>
      </c>
      <c r="D960" s="3">
        <v>0.54166666666666663</v>
      </c>
      <c r="E960">
        <v>75</v>
      </c>
      <c r="F960">
        <v>78</v>
      </c>
      <c r="G960">
        <v>3</v>
      </c>
      <c r="H960" s="1" t="s">
        <v>46</v>
      </c>
      <c r="I960">
        <v>18.5</v>
      </c>
      <c r="J960">
        <v>22</v>
      </c>
      <c r="K960" s="1" t="s">
        <v>47</v>
      </c>
      <c r="L960" s="1" t="s">
        <v>56</v>
      </c>
      <c r="M960">
        <v>0</v>
      </c>
      <c r="N960">
        <v>0</v>
      </c>
      <c r="O960" s="1" t="s">
        <v>27</v>
      </c>
      <c r="P960">
        <v>1</v>
      </c>
      <c r="Q960">
        <v>1</v>
      </c>
      <c r="R960">
        <v>3</v>
      </c>
      <c r="S960">
        <v>13</v>
      </c>
      <c r="T960">
        <v>0</v>
      </c>
      <c r="U960">
        <v>0</v>
      </c>
      <c r="V960">
        <v>4.05</v>
      </c>
    </row>
    <row r="961" spans="1:22">
      <c r="A961" s="1" t="s">
        <v>1007</v>
      </c>
      <c r="B961" s="1" t="s">
        <v>29</v>
      </c>
      <c r="C961" s="2">
        <v>46292</v>
      </c>
      <c r="D961" s="3">
        <v>0.4375</v>
      </c>
      <c r="E961">
        <v>58</v>
      </c>
      <c r="F961">
        <v>64</v>
      </c>
      <c r="G961">
        <v>6</v>
      </c>
      <c r="H961" s="1" t="s">
        <v>30</v>
      </c>
      <c r="I961">
        <v>32</v>
      </c>
      <c r="J961">
        <v>14</v>
      </c>
      <c r="K961" s="1" t="s">
        <v>31</v>
      </c>
      <c r="L961" s="1" t="s">
        <v>38</v>
      </c>
      <c r="M961">
        <v>1</v>
      </c>
      <c r="N961">
        <v>0</v>
      </c>
      <c r="O961" s="1" t="s">
        <v>134</v>
      </c>
      <c r="P961">
        <v>1</v>
      </c>
      <c r="Q961">
        <v>1</v>
      </c>
      <c r="R961">
        <v>1</v>
      </c>
      <c r="S961">
        <v>10</v>
      </c>
      <c r="T961">
        <v>1</v>
      </c>
      <c r="U961">
        <v>1</v>
      </c>
      <c r="V961">
        <v>1.81</v>
      </c>
    </row>
    <row r="962" spans="1:22">
      <c r="A962" s="1" t="s">
        <v>1008</v>
      </c>
      <c r="B962" s="1" t="s">
        <v>45</v>
      </c>
      <c r="C962" s="2">
        <v>46283</v>
      </c>
      <c r="D962" s="3">
        <v>0.23958333333333334</v>
      </c>
      <c r="E962">
        <v>78</v>
      </c>
      <c r="F962">
        <v>78</v>
      </c>
      <c r="G962">
        <v>4</v>
      </c>
      <c r="H962" s="1" t="s">
        <v>46</v>
      </c>
      <c r="I962">
        <v>18.5</v>
      </c>
      <c r="J962">
        <v>22</v>
      </c>
      <c r="K962" s="1" t="s">
        <v>47</v>
      </c>
      <c r="L962" s="1" t="s">
        <v>49</v>
      </c>
      <c r="M962">
        <v>0</v>
      </c>
      <c r="N962">
        <v>0</v>
      </c>
      <c r="O962" s="1" t="s">
        <v>27</v>
      </c>
      <c r="P962">
        <v>1</v>
      </c>
      <c r="Q962">
        <v>1</v>
      </c>
      <c r="R962">
        <v>0</v>
      </c>
      <c r="S962">
        <v>5</v>
      </c>
      <c r="T962">
        <v>0</v>
      </c>
      <c r="U962">
        <v>0</v>
      </c>
      <c r="V962">
        <v>4.22</v>
      </c>
    </row>
    <row r="963" spans="1:22">
      <c r="A963" s="1" t="s">
        <v>1009</v>
      </c>
      <c r="B963" s="1" t="s">
        <v>59</v>
      </c>
      <c r="C963" s="2">
        <v>46283</v>
      </c>
      <c r="D963" s="3">
        <v>0.72916666666666663</v>
      </c>
      <c r="E963">
        <v>86</v>
      </c>
      <c r="F963">
        <v>82</v>
      </c>
      <c r="G963">
        <v>4</v>
      </c>
      <c r="H963" s="1" t="s">
        <v>60</v>
      </c>
      <c r="I963">
        <v>24.8</v>
      </c>
      <c r="J963">
        <v>28</v>
      </c>
      <c r="K963" s="1" t="s">
        <v>61</v>
      </c>
      <c r="L963" s="1" t="s">
        <v>49</v>
      </c>
      <c r="M963">
        <v>0</v>
      </c>
      <c r="N963">
        <v>0</v>
      </c>
      <c r="O963" s="1" t="s">
        <v>27</v>
      </c>
      <c r="P963">
        <v>1</v>
      </c>
      <c r="Q963">
        <v>1</v>
      </c>
      <c r="R963">
        <v>4</v>
      </c>
      <c r="S963">
        <v>17</v>
      </c>
      <c r="T963">
        <v>1</v>
      </c>
      <c r="U963">
        <v>0</v>
      </c>
      <c r="V963">
        <v>3.47</v>
      </c>
    </row>
    <row r="964" spans="1:22">
      <c r="A964" s="1" t="s">
        <v>1010</v>
      </c>
      <c r="B964" s="1" t="s">
        <v>29</v>
      </c>
      <c r="C964" s="2">
        <v>46279</v>
      </c>
      <c r="D964" s="3">
        <v>0.70833333333333337</v>
      </c>
      <c r="E964">
        <v>44</v>
      </c>
      <c r="F964">
        <v>45</v>
      </c>
      <c r="G964">
        <v>4</v>
      </c>
      <c r="H964" s="1" t="s">
        <v>30</v>
      </c>
      <c r="I964">
        <v>32</v>
      </c>
      <c r="J964">
        <v>14</v>
      </c>
      <c r="K964" s="1" t="s">
        <v>31</v>
      </c>
      <c r="L964" s="1" t="s">
        <v>65</v>
      </c>
      <c r="M964">
        <v>0</v>
      </c>
      <c r="N964">
        <v>0</v>
      </c>
      <c r="O964" s="1" t="s">
        <v>27</v>
      </c>
      <c r="P964">
        <v>1</v>
      </c>
      <c r="Q964">
        <v>1</v>
      </c>
      <c r="R964">
        <v>1</v>
      </c>
      <c r="S964">
        <v>17</v>
      </c>
      <c r="T964">
        <v>1</v>
      </c>
      <c r="U964">
        <v>0</v>
      </c>
      <c r="V964">
        <v>1.38</v>
      </c>
    </row>
    <row r="965" spans="1:22">
      <c r="A965" s="1" t="s">
        <v>1011</v>
      </c>
      <c r="B965" s="1" t="s">
        <v>34</v>
      </c>
      <c r="C965" s="2">
        <v>46280</v>
      </c>
      <c r="D965" s="3">
        <v>0.25</v>
      </c>
      <c r="E965">
        <v>103</v>
      </c>
      <c r="F965">
        <v>106</v>
      </c>
      <c r="G965">
        <v>3</v>
      </c>
      <c r="H965" s="1" t="s">
        <v>35</v>
      </c>
      <c r="I965">
        <v>12.2</v>
      </c>
      <c r="J965">
        <v>18</v>
      </c>
      <c r="K965" s="1" t="s">
        <v>36</v>
      </c>
      <c r="L965" s="1" t="s">
        <v>26</v>
      </c>
      <c r="M965">
        <v>0</v>
      </c>
      <c r="N965">
        <v>0</v>
      </c>
      <c r="O965" s="1" t="s">
        <v>27</v>
      </c>
      <c r="P965">
        <v>1</v>
      </c>
      <c r="Q965">
        <v>1</v>
      </c>
      <c r="R965">
        <v>3</v>
      </c>
      <c r="S965">
        <v>6</v>
      </c>
      <c r="T965">
        <v>0</v>
      </c>
      <c r="U965">
        <v>0</v>
      </c>
      <c r="V965">
        <v>8.44</v>
      </c>
    </row>
    <row r="966" spans="1:22">
      <c r="A966" s="1" t="s">
        <v>1012</v>
      </c>
      <c r="B966" s="1" t="s">
        <v>59</v>
      </c>
      <c r="C966" s="2">
        <v>46294</v>
      </c>
      <c r="D966" s="3">
        <v>0.52083333333333337</v>
      </c>
      <c r="E966">
        <v>143</v>
      </c>
      <c r="F966">
        <v>141</v>
      </c>
      <c r="G966">
        <v>4</v>
      </c>
      <c r="H966" s="1" t="s">
        <v>60</v>
      </c>
      <c r="I966">
        <v>24.8</v>
      </c>
      <c r="J966">
        <v>28</v>
      </c>
      <c r="K966" s="1" t="s">
        <v>61</v>
      </c>
      <c r="L966" s="1" t="s">
        <v>26</v>
      </c>
      <c r="M966">
        <v>0</v>
      </c>
      <c r="N966">
        <v>0</v>
      </c>
      <c r="O966" s="1" t="s">
        <v>27</v>
      </c>
      <c r="P966">
        <v>1</v>
      </c>
      <c r="Q966">
        <v>1</v>
      </c>
      <c r="R966">
        <v>1</v>
      </c>
      <c r="S966">
        <v>12</v>
      </c>
      <c r="T966">
        <v>0</v>
      </c>
      <c r="U966">
        <v>0</v>
      </c>
      <c r="V966">
        <v>5.77</v>
      </c>
    </row>
    <row r="967" spans="1:22">
      <c r="A967" s="1" t="s">
        <v>1013</v>
      </c>
      <c r="B967" s="1" t="s">
        <v>59</v>
      </c>
      <c r="C967" s="2">
        <v>46277</v>
      </c>
      <c r="D967" s="3">
        <v>0.34375</v>
      </c>
      <c r="E967">
        <v>159</v>
      </c>
      <c r="F967">
        <v>163</v>
      </c>
      <c r="G967">
        <v>7</v>
      </c>
      <c r="H967" s="1" t="s">
        <v>60</v>
      </c>
      <c r="I967">
        <v>24.8</v>
      </c>
      <c r="J967">
        <v>28</v>
      </c>
      <c r="K967" s="1" t="s">
        <v>61</v>
      </c>
      <c r="L967" s="1" t="s">
        <v>32</v>
      </c>
      <c r="M967">
        <v>1</v>
      </c>
      <c r="N967">
        <v>0</v>
      </c>
      <c r="O967" s="1" t="s">
        <v>40</v>
      </c>
      <c r="P967">
        <v>1</v>
      </c>
      <c r="Q967">
        <v>1</v>
      </c>
      <c r="R967">
        <v>4</v>
      </c>
      <c r="S967">
        <v>8</v>
      </c>
      <c r="T967">
        <v>1</v>
      </c>
      <c r="U967">
        <v>1</v>
      </c>
      <c r="V967">
        <v>6.41</v>
      </c>
    </row>
    <row r="968" spans="1:22">
      <c r="A968" s="1" t="s">
        <v>1014</v>
      </c>
      <c r="B968" s="1" t="s">
        <v>29</v>
      </c>
      <c r="C968" s="2">
        <v>46269</v>
      </c>
      <c r="D968" s="3">
        <v>0.32291666666666669</v>
      </c>
      <c r="E968">
        <v>115</v>
      </c>
      <c r="F968">
        <v>104</v>
      </c>
      <c r="G968">
        <v>5</v>
      </c>
      <c r="H968" s="1" t="s">
        <v>30</v>
      </c>
      <c r="I968">
        <v>32</v>
      </c>
      <c r="J968">
        <v>14</v>
      </c>
      <c r="K968" s="1" t="s">
        <v>31</v>
      </c>
      <c r="L968" s="1" t="s">
        <v>49</v>
      </c>
      <c r="M968">
        <v>0</v>
      </c>
      <c r="N968">
        <v>0</v>
      </c>
      <c r="O968" s="1" t="s">
        <v>27</v>
      </c>
      <c r="P968">
        <v>1</v>
      </c>
      <c r="Q968">
        <v>1</v>
      </c>
      <c r="R968">
        <v>2</v>
      </c>
      <c r="S968">
        <v>7</v>
      </c>
      <c r="T968">
        <v>0</v>
      </c>
      <c r="U968">
        <v>0</v>
      </c>
      <c r="V968">
        <v>3.59</v>
      </c>
    </row>
    <row r="969" spans="1:22">
      <c r="A969" s="1" t="s">
        <v>1015</v>
      </c>
      <c r="B969" s="1" t="s">
        <v>45</v>
      </c>
      <c r="C969" s="2">
        <v>46292</v>
      </c>
      <c r="D969" s="3">
        <v>0.44791666666666669</v>
      </c>
      <c r="E969">
        <v>85</v>
      </c>
      <c r="F969">
        <v>77</v>
      </c>
      <c r="G969">
        <v>6</v>
      </c>
      <c r="H969" s="1" t="s">
        <v>46</v>
      </c>
      <c r="I969">
        <v>18.5</v>
      </c>
      <c r="J969">
        <v>22</v>
      </c>
      <c r="K969" s="1" t="s">
        <v>47</v>
      </c>
      <c r="L969" s="1" t="s">
        <v>38</v>
      </c>
      <c r="M969">
        <v>1</v>
      </c>
      <c r="N969">
        <v>0</v>
      </c>
      <c r="O969" s="1" t="s">
        <v>134</v>
      </c>
      <c r="P969">
        <v>1</v>
      </c>
      <c r="Q969">
        <v>1</v>
      </c>
      <c r="R969">
        <v>7</v>
      </c>
      <c r="S969">
        <v>10</v>
      </c>
      <c r="T969">
        <v>1</v>
      </c>
      <c r="U969">
        <v>1</v>
      </c>
      <c r="V969">
        <v>4.59</v>
      </c>
    </row>
    <row r="970" spans="1:22">
      <c r="A970" s="1" t="s">
        <v>1016</v>
      </c>
      <c r="B970" s="1" t="s">
        <v>45</v>
      </c>
      <c r="C970" s="2">
        <v>46268</v>
      </c>
      <c r="D970" s="3">
        <v>0.66666666666666663</v>
      </c>
      <c r="E970">
        <v>113</v>
      </c>
      <c r="F970">
        <v>110</v>
      </c>
      <c r="G970">
        <v>4</v>
      </c>
      <c r="H970" s="1" t="s">
        <v>46</v>
      </c>
      <c r="I970">
        <v>18.5</v>
      </c>
      <c r="J970">
        <v>22</v>
      </c>
      <c r="K970" s="1" t="s">
        <v>47</v>
      </c>
      <c r="L970" s="1" t="s">
        <v>56</v>
      </c>
      <c r="M970">
        <v>0</v>
      </c>
      <c r="N970">
        <v>0</v>
      </c>
      <c r="O970" s="1" t="s">
        <v>27</v>
      </c>
      <c r="P970">
        <v>1</v>
      </c>
      <c r="Q970">
        <v>1</v>
      </c>
      <c r="R970">
        <v>6</v>
      </c>
      <c r="S970">
        <v>16</v>
      </c>
      <c r="T970">
        <v>0</v>
      </c>
      <c r="U970">
        <v>0</v>
      </c>
      <c r="V970">
        <v>6.11</v>
      </c>
    </row>
    <row r="971" spans="1:22">
      <c r="A971" s="1" t="s">
        <v>1017</v>
      </c>
      <c r="B971" s="1" t="s">
        <v>23</v>
      </c>
      <c r="C971" s="2">
        <v>46285</v>
      </c>
      <c r="D971" s="3">
        <v>0.51041666666666663</v>
      </c>
      <c r="E971">
        <v>48</v>
      </c>
      <c r="F971">
        <v>44</v>
      </c>
      <c r="G971">
        <v>3</v>
      </c>
      <c r="H971" s="1" t="s">
        <v>24</v>
      </c>
      <c r="I971">
        <v>15</v>
      </c>
      <c r="J971">
        <v>16</v>
      </c>
      <c r="K971" s="1" t="s">
        <v>25</v>
      </c>
      <c r="L971" s="1" t="s">
        <v>38</v>
      </c>
      <c r="M971">
        <v>1</v>
      </c>
      <c r="N971">
        <v>0</v>
      </c>
      <c r="O971" s="1" t="s">
        <v>52</v>
      </c>
      <c r="P971">
        <v>1</v>
      </c>
      <c r="Q971">
        <v>1</v>
      </c>
      <c r="R971">
        <v>7</v>
      </c>
      <c r="S971">
        <v>12</v>
      </c>
      <c r="T971">
        <v>0</v>
      </c>
      <c r="U971">
        <v>1</v>
      </c>
      <c r="V971">
        <v>3.2</v>
      </c>
    </row>
    <row r="972" spans="1:22">
      <c r="A972" s="1" t="s">
        <v>1018</v>
      </c>
      <c r="B972" s="1" t="s">
        <v>23</v>
      </c>
      <c r="C972" s="2">
        <v>46294</v>
      </c>
      <c r="D972" s="3">
        <v>0.23958333333333334</v>
      </c>
      <c r="E972">
        <v>97</v>
      </c>
      <c r="F972">
        <v>89</v>
      </c>
      <c r="G972">
        <v>3</v>
      </c>
      <c r="H972" s="1" t="s">
        <v>24</v>
      </c>
      <c r="I972">
        <v>15</v>
      </c>
      <c r="J972">
        <v>16</v>
      </c>
      <c r="K972" s="1" t="s">
        <v>25</v>
      </c>
      <c r="L972" s="1" t="s">
        <v>26</v>
      </c>
      <c r="M972">
        <v>0</v>
      </c>
      <c r="N972">
        <v>0</v>
      </c>
      <c r="O972" s="1" t="s">
        <v>27</v>
      </c>
      <c r="P972">
        <v>1</v>
      </c>
      <c r="Q972">
        <v>1</v>
      </c>
      <c r="R972">
        <v>4</v>
      </c>
      <c r="S972">
        <v>5</v>
      </c>
      <c r="T972">
        <v>0</v>
      </c>
      <c r="U972">
        <v>0</v>
      </c>
      <c r="V972">
        <v>6.47</v>
      </c>
    </row>
    <row r="973" spans="1:22">
      <c r="A973" s="1" t="s">
        <v>1019</v>
      </c>
      <c r="B973" s="1" t="s">
        <v>23</v>
      </c>
      <c r="C973" s="2">
        <v>46277</v>
      </c>
      <c r="D973" s="3">
        <v>0.64583333333333337</v>
      </c>
      <c r="E973">
        <v>112</v>
      </c>
      <c r="F973">
        <v>100</v>
      </c>
      <c r="G973">
        <v>4</v>
      </c>
      <c r="H973" s="1" t="s">
        <v>24</v>
      </c>
      <c r="I973">
        <v>15</v>
      </c>
      <c r="J973">
        <v>16</v>
      </c>
      <c r="K973" s="1" t="s">
        <v>25</v>
      </c>
      <c r="L973" s="1" t="s">
        <v>32</v>
      </c>
      <c r="M973">
        <v>1</v>
      </c>
      <c r="N973">
        <v>0</v>
      </c>
      <c r="O973" s="1" t="s">
        <v>40</v>
      </c>
      <c r="P973">
        <v>1</v>
      </c>
      <c r="Q973">
        <v>1</v>
      </c>
      <c r="R973">
        <v>1</v>
      </c>
      <c r="S973">
        <v>15</v>
      </c>
      <c r="T973">
        <v>0</v>
      </c>
      <c r="U973">
        <v>1</v>
      </c>
      <c r="V973">
        <v>7.47</v>
      </c>
    </row>
    <row r="974" spans="1:22">
      <c r="A974" s="1" t="s">
        <v>1020</v>
      </c>
      <c r="B974" s="1" t="s">
        <v>23</v>
      </c>
      <c r="C974" s="2">
        <v>46272</v>
      </c>
      <c r="D974" s="3">
        <v>0.70833333333333337</v>
      </c>
      <c r="E974">
        <v>38</v>
      </c>
      <c r="F974">
        <v>33</v>
      </c>
      <c r="G974">
        <v>3</v>
      </c>
      <c r="H974" s="1" t="s">
        <v>24</v>
      </c>
      <c r="I974">
        <v>15</v>
      </c>
      <c r="J974">
        <v>16</v>
      </c>
      <c r="K974" s="1" t="s">
        <v>25</v>
      </c>
      <c r="L974" s="1" t="s">
        <v>65</v>
      </c>
      <c r="M974">
        <v>0</v>
      </c>
      <c r="N974">
        <v>0</v>
      </c>
      <c r="O974" s="1" t="s">
        <v>27</v>
      </c>
      <c r="P974">
        <v>1</v>
      </c>
      <c r="Q974">
        <v>1</v>
      </c>
      <c r="R974">
        <v>0</v>
      </c>
      <c r="S974">
        <v>17</v>
      </c>
      <c r="T974">
        <v>1</v>
      </c>
      <c r="U974">
        <v>0</v>
      </c>
      <c r="V974">
        <v>2.5299999999999998</v>
      </c>
    </row>
    <row r="975" spans="1:22">
      <c r="A975" s="1" t="s">
        <v>1021</v>
      </c>
      <c r="B975" s="1" t="s">
        <v>34</v>
      </c>
      <c r="C975" s="2">
        <v>46294</v>
      </c>
      <c r="D975" s="3">
        <v>0.88541666666666663</v>
      </c>
      <c r="E975">
        <v>152</v>
      </c>
      <c r="F975">
        <v>146</v>
      </c>
      <c r="G975">
        <v>5</v>
      </c>
      <c r="H975" s="1" t="s">
        <v>35</v>
      </c>
      <c r="I975">
        <v>12.2</v>
      </c>
      <c r="J975">
        <v>18</v>
      </c>
      <c r="K975" s="1" t="s">
        <v>36</v>
      </c>
      <c r="L975" s="1" t="s">
        <v>26</v>
      </c>
      <c r="M975">
        <v>0</v>
      </c>
      <c r="N975">
        <v>0</v>
      </c>
      <c r="O975" s="1" t="s">
        <v>27</v>
      </c>
      <c r="P975">
        <v>1</v>
      </c>
      <c r="Q975">
        <v>1</v>
      </c>
      <c r="R975">
        <v>2</v>
      </c>
      <c r="S975">
        <v>21</v>
      </c>
      <c r="T975">
        <v>0</v>
      </c>
      <c r="U975">
        <v>0</v>
      </c>
      <c r="V975">
        <v>12.46</v>
      </c>
    </row>
    <row r="976" spans="1:22">
      <c r="A976" s="1" t="s">
        <v>1022</v>
      </c>
      <c r="B976" s="1" t="s">
        <v>34</v>
      </c>
      <c r="C976" s="2">
        <v>46276</v>
      </c>
      <c r="D976" s="3">
        <v>0.58333333333333337</v>
      </c>
      <c r="E976">
        <v>51</v>
      </c>
      <c r="F976">
        <v>53</v>
      </c>
      <c r="G976">
        <v>4</v>
      </c>
      <c r="H976" s="1" t="s">
        <v>35</v>
      </c>
      <c r="I976">
        <v>12.2</v>
      </c>
      <c r="J976">
        <v>18</v>
      </c>
      <c r="K976" s="1" t="s">
        <v>36</v>
      </c>
      <c r="L976" s="1" t="s">
        <v>49</v>
      </c>
      <c r="M976">
        <v>0</v>
      </c>
      <c r="N976">
        <v>0</v>
      </c>
      <c r="O976" s="1" t="s">
        <v>27</v>
      </c>
      <c r="P976">
        <v>1</v>
      </c>
      <c r="Q976">
        <v>1</v>
      </c>
      <c r="R976">
        <v>4</v>
      </c>
      <c r="S976">
        <v>14</v>
      </c>
      <c r="T976">
        <v>0</v>
      </c>
      <c r="U976">
        <v>0</v>
      </c>
      <c r="V976">
        <v>4.18</v>
      </c>
    </row>
    <row r="977" spans="1:22">
      <c r="A977" s="1" t="s">
        <v>1023</v>
      </c>
      <c r="B977" s="1" t="s">
        <v>59</v>
      </c>
      <c r="C977" s="2">
        <v>46266</v>
      </c>
      <c r="D977" s="3">
        <v>0.6875</v>
      </c>
      <c r="E977">
        <v>161</v>
      </c>
      <c r="F977">
        <v>161</v>
      </c>
      <c r="G977">
        <v>5</v>
      </c>
      <c r="H977" s="1" t="s">
        <v>60</v>
      </c>
      <c r="I977">
        <v>24.8</v>
      </c>
      <c r="J977">
        <v>28</v>
      </c>
      <c r="K977" s="1" t="s">
        <v>61</v>
      </c>
      <c r="L977" s="1" t="s">
        <v>26</v>
      </c>
      <c r="M977">
        <v>0</v>
      </c>
      <c r="N977">
        <v>0</v>
      </c>
      <c r="O977" s="1" t="s">
        <v>27</v>
      </c>
      <c r="P977">
        <v>1</v>
      </c>
      <c r="Q977">
        <v>1</v>
      </c>
      <c r="R977">
        <v>4</v>
      </c>
      <c r="S977">
        <v>16</v>
      </c>
      <c r="T977">
        <v>0</v>
      </c>
      <c r="U977">
        <v>0</v>
      </c>
      <c r="V977">
        <v>6.49</v>
      </c>
    </row>
    <row r="978" spans="1:22">
      <c r="A978" s="1" t="s">
        <v>1024</v>
      </c>
      <c r="B978" s="1" t="s">
        <v>45</v>
      </c>
      <c r="C978" s="2">
        <v>46271</v>
      </c>
      <c r="D978" s="3">
        <v>0.59375</v>
      </c>
      <c r="E978">
        <v>91</v>
      </c>
      <c r="F978">
        <v>88</v>
      </c>
      <c r="G978">
        <v>4</v>
      </c>
      <c r="H978" s="1" t="s">
        <v>46</v>
      </c>
      <c r="I978">
        <v>18.5</v>
      </c>
      <c r="J978">
        <v>22</v>
      </c>
      <c r="K978" s="1" t="s">
        <v>47</v>
      </c>
      <c r="L978" s="1" t="s">
        <v>38</v>
      </c>
      <c r="M978">
        <v>1</v>
      </c>
      <c r="N978">
        <v>0</v>
      </c>
      <c r="O978" s="1" t="s">
        <v>27</v>
      </c>
      <c r="P978">
        <v>1</v>
      </c>
      <c r="Q978">
        <v>1</v>
      </c>
      <c r="R978">
        <v>0</v>
      </c>
      <c r="S978">
        <v>14</v>
      </c>
      <c r="T978">
        <v>0</v>
      </c>
      <c r="U978">
        <v>0</v>
      </c>
      <c r="V978">
        <v>4.92</v>
      </c>
    </row>
    <row r="979" spans="1:22">
      <c r="A979" s="1" t="s">
        <v>1025</v>
      </c>
      <c r="B979" s="1" t="s">
        <v>29</v>
      </c>
      <c r="C979" s="2">
        <v>46280</v>
      </c>
      <c r="D979" s="3">
        <v>0.70833333333333337</v>
      </c>
      <c r="E979">
        <v>177</v>
      </c>
      <c r="F979">
        <v>173</v>
      </c>
      <c r="G979">
        <v>6</v>
      </c>
      <c r="H979" s="1" t="s">
        <v>30</v>
      </c>
      <c r="I979">
        <v>32</v>
      </c>
      <c r="J979">
        <v>14</v>
      </c>
      <c r="K979" s="1" t="s">
        <v>31</v>
      </c>
      <c r="L979" s="1" t="s">
        <v>26</v>
      </c>
      <c r="M979">
        <v>0</v>
      </c>
      <c r="N979">
        <v>0</v>
      </c>
      <c r="O979" s="1" t="s">
        <v>27</v>
      </c>
      <c r="P979">
        <v>1</v>
      </c>
      <c r="Q979">
        <v>1</v>
      </c>
      <c r="R979">
        <v>7</v>
      </c>
      <c r="S979">
        <v>17</v>
      </c>
      <c r="T979">
        <v>1</v>
      </c>
      <c r="U979">
        <v>0</v>
      </c>
      <c r="V979">
        <v>5.53</v>
      </c>
    </row>
    <row r="980" spans="1:22">
      <c r="A980" s="1" t="s">
        <v>1026</v>
      </c>
      <c r="B980" s="1" t="s">
        <v>29</v>
      </c>
      <c r="C980" s="2">
        <v>46280</v>
      </c>
      <c r="D980" s="3">
        <v>0.44791666666666669</v>
      </c>
      <c r="E980">
        <v>89</v>
      </c>
      <c r="F980">
        <v>81</v>
      </c>
      <c r="G980">
        <v>4</v>
      </c>
      <c r="H980" s="1" t="s">
        <v>30</v>
      </c>
      <c r="I980">
        <v>32</v>
      </c>
      <c r="J980">
        <v>14</v>
      </c>
      <c r="K980" s="1" t="s">
        <v>31</v>
      </c>
      <c r="L980" s="1" t="s">
        <v>26</v>
      </c>
      <c r="M980">
        <v>0</v>
      </c>
      <c r="N980">
        <v>0</v>
      </c>
      <c r="O980" s="1" t="s">
        <v>27</v>
      </c>
      <c r="P980">
        <v>1</v>
      </c>
      <c r="Q980">
        <v>1</v>
      </c>
      <c r="R980">
        <v>1</v>
      </c>
      <c r="S980">
        <v>10</v>
      </c>
      <c r="T980">
        <v>1</v>
      </c>
      <c r="U980">
        <v>0</v>
      </c>
      <c r="V980">
        <v>2.78</v>
      </c>
    </row>
    <row r="981" spans="1:22">
      <c r="A981" s="1" t="s">
        <v>1027</v>
      </c>
      <c r="B981" s="1" t="s">
        <v>23</v>
      </c>
      <c r="C981" s="2">
        <v>46284</v>
      </c>
      <c r="D981" s="3">
        <v>0.26041666666666669</v>
      </c>
      <c r="E981">
        <v>100</v>
      </c>
      <c r="F981">
        <v>98</v>
      </c>
      <c r="G981">
        <v>4</v>
      </c>
      <c r="H981" s="1" t="s">
        <v>24</v>
      </c>
      <c r="I981">
        <v>15</v>
      </c>
      <c r="J981">
        <v>16</v>
      </c>
      <c r="K981" s="1" t="s">
        <v>25</v>
      </c>
      <c r="L981" s="1" t="s">
        <v>32</v>
      </c>
      <c r="M981">
        <v>1</v>
      </c>
      <c r="N981">
        <v>1</v>
      </c>
      <c r="O981" s="1" t="s">
        <v>27</v>
      </c>
      <c r="P981">
        <v>1</v>
      </c>
      <c r="Q981">
        <v>1</v>
      </c>
      <c r="R981">
        <v>9</v>
      </c>
      <c r="S981">
        <v>6</v>
      </c>
      <c r="T981">
        <v>0</v>
      </c>
      <c r="U981">
        <v>0</v>
      </c>
      <c r="V981">
        <v>6.67</v>
      </c>
    </row>
    <row r="982" spans="1:22">
      <c r="A982" s="1" t="s">
        <v>1028</v>
      </c>
      <c r="B982" s="1" t="s">
        <v>59</v>
      </c>
      <c r="C982" s="2">
        <v>46276</v>
      </c>
      <c r="D982" s="3">
        <v>0.90625</v>
      </c>
      <c r="E982">
        <v>47</v>
      </c>
      <c r="F982">
        <v>49</v>
      </c>
      <c r="G982">
        <v>3</v>
      </c>
      <c r="H982" s="1" t="s">
        <v>60</v>
      </c>
      <c r="I982">
        <v>24.8</v>
      </c>
      <c r="J982">
        <v>28</v>
      </c>
      <c r="K982" s="1" t="s">
        <v>61</v>
      </c>
      <c r="L982" s="1" t="s">
        <v>49</v>
      </c>
      <c r="M982">
        <v>0</v>
      </c>
      <c r="N982">
        <v>0</v>
      </c>
      <c r="O982" s="1" t="s">
        <v>27</v>
      </c>
      <c r="P982">
        <v>1</v>
      </c>
      <c r="Q982">
        <v>1</v>
      </c>
      <c r="R982">
        <v>4</v>
      </c>
      <c r="S982">
        <v>21</v>
      </c>
      <c r="T982">
        <v>0</v>
      </c>
      <c r="U982">
        <v>0</v>
      </c>
      <c r="V982">
        <v>1.9</v>
      </c>
    </row>
    <row r="983" spans="1:22">
      <c r="A983" s="1" t="s">
        <v>1029</v>
      </c>
      <c r="B983" s="1" t="s">
        <v>29</v>
      </c>
      <c r="C983" s="2">
        <v>46291</v>
      </c>
      <c r="D983" s="3">
        <v>0.76041666666666663</v>
      </c>
      <c r="E983">
        <v>89</v>
      </c>
      <c r="F983">
        <v>87</v>
      </c>
      <c r="G983">
        <v>5</v>
      </c>
      <c r="H983" s="1" t="s">
        <v>30</v>
      </c>
      <c r="I983">
        <v>32</v>
      </c>
      <c r="J983">
        <v>14</v>
      </c>
      <c r="K983" s="1" t="s">
        <v>31</v>
      </c>
      <c r="L983" s="1" t="s">
        <v>32</v>
      </c>
      <c r="M983">
        <v>1</v>
      </c>
      <c r="N983">
        <v>0</v>
      </c>
      <c r="O983" s="1" t="s">
        <v>27</v>
      </c>
      <c r="P983">
        <v>1</v>
      </c>
      <c r="Q983">
        <v>1</v>
      </c>
      <c r="R983">
        <v>1</v>
      </c>
      <c r="S983">
        <v>18</v>
      </c>
      <c r="T983">
        <v>1</v>
      </c>
      <c r="U983">
        <v>0</v>
      </c>
      <c r="V983">
        <v>2.78</v>
      </c>
    </row>
    <row r="984" spans="1:22">
      <c r="A984" s="1" t="s">
        <v>1030</v>
      </c>
      <c r="B984" s="1" t="s">
        <v>45</v>
      </c>
      <c r="C984" s="2">
        <v>46288</v>
      </c>
      <c r="D984" s="3">
        <v>0.29166666666666669</v>
      </c>
      <c r="E984">
        <v>136</v>
      </c>
      <c r="F984">
        <v>130</v>
      </c>
      <c r="G984">
        <v>5</v>
      </c>
      <c r="H984" s="1" t="s">
        <v>46</v>
      </c>
      <c r="I984">
        <v>18.5</v>
      </c>
      <c r="J984">
        <v>22</v>
      </c>
      <c r="K984" s="1" t="s">
        <v>47</v>
      </c>
      <c r="L984" s="1" t="s">
        <v>69</v>
      </c>
      <c r="M984">
        <v>0</v>
      </c>
      <c r="N984">
        <v>0</v>
      </c>
      <c r="O984" s="1" t="s">
        <v>27</v>
      </c>
      <c r="P984">
        <v>1</v>
      </c>
      <c r="Q984">
        <v>1</v>
      </c>
      <c r="R984">
        <v>4</v>
      </c>
      <c r="S984">
        <v>7</v>
      </c>
      <c r="T984">
        <v>0</v>
      </c>
      <c r="U984">
        <v>0</v>
      </c>
      <c r="V984">
        <v>7.35</v>
      </c>
    </row>
    <row r="985" spans="1:22">
      <c r="A985" s="1" t="s">
        <v>1031</v>
      </c>
      <c r="B985" s="1" t="s">
        <v>59</v>
      </c>
      <c r="C985" s="2">
        <v>46291</v>
      </c>
      <c r="D985" s="3">
        <v>0.3125</v>
      </c>
      <c r="E985">
        <v>96</v>
      </c>
      <c r="F985">
        <v>96</v>
      </c>
      <c r="G985">
        <v>5</v>
      </c>
      <c r="H985" s="1" t="s">
        <v>60</v>
      </c>
      <c r="I985">
        <v>24.8</v>
      </c>
      <c r="J985">
        <v>28</v>
      </c>
      <c r="K985" s="1" t="s">
        <v>61</v>
      </c>
      <c r="L985" s="1" t="s">
        <v>32</v>
      </c>
      <c r="M985">
        <v>1</v>
      </c>
      <c r="N985">
        <v>0</v>
      </c>
      <c r="O985" s="1" t="s">
        <v>27</v>
      </c>
      <c r="P985">
        <v>1</v>
      </c>
      <c r="Q985">
        <v>1</v>
      </c>
      <c r="R985">
        <v>4</v>
      </c>
      <c r="S985">
        <v>7</v>
      </c>
      <c r="T985">
        <v>0</v>
      </c>
      <c r="U985">
        <v>0</v>
      </c>
      <c r="V985">
        <v>3.87</v>
      </c>
    </row>
    <row r="986" spans="1:22">
      <c r="A986" s="1" t="s">
        <v>1032</v>
      </c>
      <c r="B986" s="1" t="s">
        <v>45</v>
      </c>
      <c r="C986" s="2">
        <v>46267</v>
      </c>
      <c r="D986" s="3">
        <v>0.41666666666666669</v>
      </c>
      <c r="E986">
        <v>76</v>
      </c>
      <c r="F986">
        <v>78</v>
      </c>
      <c r="G986">
        <v>3</v>
      </c>
      <c r="H986" s="1" t="s">
        <v>46</v>
      </c>
      <c r="I986">
        <v>18.5</v>
      </c>
      <c r="J986">
        <v>22</v>
      </c>
      <c r="K986" s="1" t="s">
        <v>47</v>
      </c>
      <c r="L986" s="1" t="s">
        <v>69</v>
      </c>
      <c r="M986">
        <v>0</v>
      </c>
      <c r="N986">
        <v>0</v>
      </c>
      <c r="O986" s="1" t="s">
        <v>27</v>
      </c>
      <c r="P986">
        <v>1</v>
      </c>
      <c r="Q986">
        <v>1</v>
      </c>
      <c r="R986">
        <v>20</v>
      </c>
      <c r="S986">
        <v>10</v>
      </c>
      <c r="T986">
        <v>1</v>
      </c>
      <c r="U986">
        <v>0</v>
      </c>
      <c r="V986">
        <v>4.1100000000000003</v>
      </c>
    </row>
    <row r="987" spans="1:22">
      <c r="A987" s="1" t="s">
        <v>1033</v>
      </c>
      <c r="B987" s="1" t="s">
        <v>45</v>
      </c>
      <c r="C987" s="2">
        <v>46279</v>
      </c>
      <c r="D987" s="3">
        <v>0.67708333333333337</v>
      </c>
      <c r="E987">
        <v>64</v>
      </c>
      <c r="F987">
        <v>66</v>
      </c>
      <c r="G987">
        <v>3</v>
      </c>
      <c r="H987" s="1" t="s">
        <v>46</v>
      </c>
      <c r="I987">
        <v>18.5</v>
      </c>
      <c r="J987">
        <v>22</v>
      </c>
      <c r="K987" s="1" t="s">
        <v>47</v>
      </c>
      <c r="L987" s="1" t="s">
        <v>65</v>
      </c>
      <c r="M987">
        <v>0</v>
      </c>
      <c r="N987">
        <v>0</v>
      </c>
      <c r="O987" s="1" t="s">
        <v>27</v>
      </c>
      <c r="P987">
        <v>1</v>
      </c>
      <c r="Q987">
        <v>1</v>
      </c>
      <c r="R987">
        <v>2</v>
      </c>
      <c r="S987">
        <v>16</v>
      </c>
      <c r="T987">
        <v>0</v>
      </c>
      <c r="U987">
        <v>0</v>
      </c>
      <c r="V987">
        <v>3.46</v>
      </c>
    </row>
    <row r="988" spans="1:22">
      <c r="A988" s="1" t="s">
        <v>1034</v>
      </c>
      <c r="B988" s="1" t="s">
        <v>45</v>
      </c>
      <c r="C988" s="2">
        <v>46267</v>
      </c>
      <c r="D988" s="3">
        <v>0.625</v>
      </c>
      <c r="E988">
        <v>145</v>
      </c>
      <c r="F988">
        <v>132</v>
      </c>
      <c r="G988">
        <v>4</v>
      </c>
      <c r="H988" s="1" t="s">
        <v>46</v>
      </c>
      <c r="I988">
        <v>18.5</v>
      </c>
      <c r="J988">
        <v>22</v>
      </c>
      <c r="K988" s="1" t="s">
        <v>47</v>
      </c>
      <c r="L988" s="1" t="s">
        <v>69</v>
      </c>
      <c r="M988">
        <v>0</v>
      </c>
      <c r="N988">
        <v>0</v>
      </c>
      <c r="O988" s="1" t="s">
        <v>27</v>
      </c>
      <c r="P988">
        <v>1</v>
      </c>
      <c r="Q988">
        <v>1</v>
      </c>
      <c r="R988">
        <v>5</v>
      </c>
      <c r="S988">
        <v>15</v>
      </c>
      <c r="T988">
        <v>0</v>
      </c>
      <c r="U988">
        <v>0</v>
      </c>
      <c r="V988">
        <v>7.84</v>
      </c>
    </row>
    <row r="989" spans="1:22">
      <c r="A989" s="1" t="s">
        <v>1035</v>
      </c>
      <c r="B989" s="1" t="s">
        <v>59</v>
      </c>
      <c r="C989" s="2">
        <v>46294</v>
      </c>
      <c r="D989" s="3">
        <v>0.34375</v>
      </c>
      <c r="E989">
        <v>120</v>
      </c>
      <c r="F989">
        <v>119</v>
      </c>
      <c r="G989">
        <v>5</v>
      </c>
      <c r="H989" s="1" t="s">
        <v>60</v>
      </c>
      <c r="I989">
        <v>24.8</v>
      </c>
      <c r="J989">
        <v>28</v>
      </c>
      <c r="K989" s="1" t="s">
        <v>61</v>
      </c>
      <c r="L989" s="1" t="s">
        <v>26</v>
      </c>
      <c r="M989">
        <v>0</v>
      </c>
      <c r="N989">
        <v>0</v>
      </c>
      <c r="O989" s="1" t="s">
        <v>27</v>
      </c>
      <c r="P989">
        <v>1</v>
      </c>
      <c r="Q989">
        <v>1</v>
      </c>
      <c r="R989">
        <v>4</v>
      </c>
      <c r="S989">
        <v>8</v>
      </c>
      <c r="T989">
        <v>1</v>
      </c>
      <c r="U989">
        <v>0</v>
      </c>
      <c r="V989">
        <v>4.84</v>
      </c>
    </row>
    <row r="990" spans="1:22">
      <c r="A990" s="1" t="s">
        <v>1036</v>
      </c>
      <c r="B990" s="1" t="s">
        <v>23</v>
      </c>
      <c r="C990" s="2">
        <v>46269</v>
      </c>
      <c r="D990" s="3">
        <v>0.41666666666666669</v>
      </c>
      <c r="E990">
        <v>67</v>
      </c>
      <c r="F990">
        <v>63</v>
      </c>
      <c r="G990">
        <v>5</v>
      </c>
      <c r="H990" s="1" t="s">
        <v>24</v>
      </c>
      <c r="I990">
        <v>15</v>
      </c>
      <c r="J990">
        <v>16</v>
      </c>
      <c r="K990" s="1" t="s">
        <v>25</v>
      </c>
      <c r="L990" s="1" t="s">
        <v>49</v>
      </c>
      <c r="M990">
        <v>0</v>
      </c>
      <c r="N990">
        <v>0</v>
      </c>
      <c r="O990" s="1" t="s">
        <v>27</v>
      </c>
      <c r="P990">
        <v>1</v>
      </c>
      <c r="Q990">
        <v>1</v>
      </c>
      <c r="R990">
        <v>4</v>
      </c>
      <c r="S990">
        <v>10</v>
      </c>
      <c r="T990">
        <v>1</v>
      </c>
      <c r="U990">
        <v>0</v>
      </c>
      <c r="V990">
        <v>4.47</v>
      </c>
    </row>
    <row r="991" spans="1:22">
      <c r="A991" s="1" t="s">
        <v>1037</v>
      </c>
      <c r="B991" s="1" t="s">
        <v>29</v>
      </c>
      <c r="C991" s="2">
        <v>46282</v>
      </c>
      <c r="D991" s="3">
        <v>0.85416666666666663</v>
      </c>
      <c r="E991">
        <v>57</v>
      </c>
      <c r="F991">
        <v>57</v>
      </c>
      <c r="G991">
        <v>3</v>
      </c>
      <c r="H991" s="1" t="s">
        <v>30</v>
      </c>
      <c r="I991">
        <v>32</v>
      </c>
      <c r="J991">
        <v>14</v>
      </c>
      <c r="K991" s="1" t="s">
        <v>31</v>
      </c>
      <c r="L991" s="1" t="s">
        <v>56</v>
      </c>
      <c r="M991">
        <v>0</v>
      </c>
      <c r="N991">
        <v>0</v>
      </c>
      <c r="O991" s="1" t="s">
        <v>27</v>
      </c>
      <c r="P991">
        <v>1</v>
      </c>
      <c r="Q991">
        <v>1</v>
      </c>
      <c r="R991">
        <v>1</v>
      </c>
      <c r="S991">
        <v>20</v>
      </c>
      <c r="T991">
        <v>0</v>
      </c>
      <c r="U991">
        <v>0</v>
      </c>
      <c r="V991">
        <v>1.78</v>
      </c>
    </row>
    <row r="992" spans="1:22">
      <c r="A992" s="1" t="s">
        <v>1038</v>
      </c>
      <c r="B992" s="1" t="s">
        <v>29</v>
      </c>
      <c r="C992" s="2">
        <v>46268</v>
      </c>
      <c r="D992" s="3">
        <v>0.90625</v>
      </c>
      <c r="E992">
        <v>130</v>
      </c>
      <c r="F992">
        <v>132</v>
      </c>
      <c r="G992">
        <v>5</v>
      </c>
      <c r="H992" s="1" t="s">
        <v>30</v>
      </c>
      <c r="I992">
        <v>32</v>
      </c>
      <c r="J992">
        <v>14</v>
      </c>
      <c r="K992" s="1" t="s">
        <v>31</v>
      </c>
      <c r="L992" s="1" t="s">
        <v>56</v>
      </c>
      <c r="M992">
        <v>0</v>
      </c>
      <c r="N992">
        <v>0</v>
      </c>
      <c r="O992" s="1" t="s">
        <v>27</v>
      </c>
      <c r="P992">
        <v>1</v>
      </c>
      <c r="Q992">
        <v>1</v>
      </c>
      <c r="R992">
        <v>4</v>
      </c>
      <c r="S992">
        <v>21</v>
      </c>
      <c r="T992">
        <v>0</v>
      </c>
      <c r="U992">
        <v>0</v>
      </c>
      <c r="V992">
        <v>4.0599999999999996</v>
      </c>
    </row>
    <row r="993" spans="1:22">
      <c r="A993" s="1" t="s">
        <v>1039</v>
      </c>
      <c r="B993" s="1" t="s">
        <v>23</v>
      </c>
      <c r="C993" s="2">
        <v>46278</v>
      </c>
      <c r="D993" s="3">
        <v>0.6875</v>
      </c>
      <c r="E993">
        <v>58</v>
      </c>
      <c r="F993">
        <v>52</v>
      </c>
      <c r="G993">
        <v>3</v>
      </c>
      <c r="H993" s="1" t="s">
        <v>24</v>
      </c>
      <c r="I993">
        <v>15</v>
      </c>
      <c r="J993">
        <v>16</v>
      </c>
      <c r="K993" s="1" t="s">
        <v>25</v>
      </c>
      <c r="L993" s="1" t="s">
        <v>38</v>
      </c>
      <c r="M993">
        <v>1</v>
      </c>
      <c r="N993">
        <v>0</v>
      </c>
      <c r="O993" s="1" t="s">
        <v>27</v>
      </c>
      <c r="P993">
        <v>1</v>
      </c>
      <c r="Q993">
        <v>1</v>
      </c>
      <c r="R993">
        <v>1</v>
      </c>
      <c r="S993">
        <v>16</v>
      </c>
      <c r="T993">
        <v>0</v>
      </c>
      <c r="U993">
        <v>0</v>
      </c>
      <c r="V993">
        <v>3.87</v>
      </c>
    </row>
    <row r="994" spans="1:22">
      <c r="A994" s="1" t="s">
        <v>1040</v>
      </c>
      <c r="B994" s="1" t="s">
        <v>45</v>
      </c>
      <c r="C994" s="2">
        <v>46274</v>
      </c>
      <c r="D994" s="3">
        <v>0.60416666666666663</v>
      </c>
      <c r="E994">
        <v>143</v>
      </c>
      <c r="F994">
        <v>136</v>
      </c>
      <c r="G994">
        <v>5</v>
      </c>
      <c r="H994" s="1" t="s">
        <v>46</v>
      </c>
      <c r="I994">
        <v>18.5</v>
      </c>
      <c r="J994">
        <v>22</v>
      </c>
      <c r="K994" s="1" t="s">
        <v>47</v>
      </c>
      <c r="L994" s="1" t="s">
        <v>69</v>
      </c>
      <c r="M994">
        <v>0</v>
      </c>
      <c r="N994">
        <v>0</v>
      </c>
      <c r="O994" s="1" t="s">
        <v>27</v>
      </c>
      <c r="P994">
        <v>1</v>
      </c>
      <c r="Q994">
        <v>1</v>
      </c>
      <c r="R994">
        <v>6</v>
      </c>
      <c r="S994">
        <v>14</v>
      </c>
      <c r="T994">
        <v>0</v>
      </c>
      <c r="U994">
        <v>0</v>
      </c>
      <c r="V994">
        <v>7.73</v>
      </c>
    </row>
    <row r="995" spans="1:22">
      <c r="A995" s="1" t="s">
        <v>1041</v>
      </c>
      <c r="B995" s="1" t="s">
        <v>29</v>
      </c>
      <c r="C995" s="2">
        <v>46272</v>
      </c>
      <c r="D995" s="3">
        <v>0.80208333333333337</v>
      </c>
      <c r="E995">
        <v>70</v>
      </c>
      <c r="F995">
        <v>72</v>
      </c>
      <c r="G995">
        <v>3</v>
      </c>
      <c r="H995" s="1" t="s">
        <v>30</v>
      </c>
      <c r="I995">
        <v>32</v>
      </c>
      <c r="J995">
        <v>14</v>
      </c>
      <c r="K995" s="1" t="s">
        <v>31</v>
      </c>
      <c r="L995" s="1" t="s">
        <v>65</v>
      </c>
      <c r="M995">
        <v>0</v>
      </c>
      <c r="N995">
        <v>0</v>
      </c>
      <c r="O995" s="1" t="s">
        <v>27</v>
      </c>
      <c r="P995">
        <v>1</v>
      </c>
      <c r="Q995">
        <v>1</v>
      </c>
      <c r="R995">
        <v>1</v>
      </c>
      <c r="S995">
        <v>19</v>
      </c>
      <c r="T995">
        <v>1</v>
      </c>
      <c r="U995">
        <v>0</v>
      </c>
      <c r="V995">
        <v>2.19</v>
      </c>
    </row>
    <row r="996" spans="1:22">
      <c r="A996" s="1" t="s">
        <v>1042</v>
      </c>
      <c r="B996" s="1" t="s">
        <v>45</v>
      </c>
      <c r="C996" s="2">
        <v>46280</v>
      </c>
      <c r="D996" s="3">
        <v>0.55208333333333337</v>
      </c>
      <c r="E996">
        <v>117</v>
      </c>
      <c r="F996">
        <v>122</v>
      </c>
      <c r="G996">
        <v>5</v>
      </c>
      <c r="H996" s="1" t="s">
        <v>46</v>
      </c>
      <c r="I996">
        <v>18.5</v>
      </c>
      <c r="J996">
        <v>22</v>
      </c>
      <c r="K996" s="1" t="s">
        <v>47</v>
      </c>
      <c r="L996" s="1" t="s">
        <v>26</v>
      </c>
      <c r="M996">
        <v>0</v>
      </c>
      <c r="N996">
        <v>0</v>
      </c>
      <c r="O996" s="1" t="s">
        <v>27</v>
      </c>
      <c r="P996">
        <v>1</v>
      </c>
      <c r="Q996">
        <v>1</v>
      </c>
      <c r="R996">
        <v>14</v>
      </c>
      <c r="S996">
        <v>13</v>
      </c>
      <c r="T996">
        <v>0</v>
      </c>
      <c r="U996">
        <v>0</v>
      </c>
      <c r="V996">
        <v>6.32</v>
      </c>
    </row>
    <row r="997" spans="1:22">
      <c r="A997" s="1" t="s">
        <v>1043</v>
      </c>
      <c r="B997" s="1" t="s">
        <v>59</v>
      </c>
      <c r="C997" s="2">
        <v>46288</v>
      </c>
      <c r="D997" s="3">
        <v>0.38541666666666669</v>
      </c>
      <c r="E997">
        <v>181</v>
      </c>
      <c r="F997">
        <v>181</v>
      </c>
      <c r="G997">
        <v>7</v>
      </c>
      <c r="H997" s="1" t="s">
        <v>60</v>
      </c>
      <c r="I997">
        <v>24.8</v>
      </c>
      <c r="J997">
        <v>28</v>
      </c>
      <c r="K997" s="1" t="s">
        <v>61</v>
      </c>
      <c r="L997" s="1" t="s">
        <v>69</v>
      </c>
      <c r="M997">
        <v>0</v>
      </c>
      <c r="N997">
        <v>0</v>
      </c>
      <c r="O997" s="1" t="s">
        <v>27</v>
      </c>
      <c r="P997">
        <v>1</v>
      </c>
      <c r="Q997">
        <v>1</v>
      </c>
      <c r="R997">
        <v>1</v>
      </c>
      <c r="S997">
        <v>9</v>
      </c>
      <c r="T997">
        <v>1</v>
      </c>
      <c r="U997">
        <v>0</v>
      </c>
      <c r="V997">
        <v>7.3</v>
      </c>
    </row>
    <row r="998" spans="1:22">
      <c r="A998" s="1" t="s">
        <v>1044</v>
      </c>
      <c r="B998" s="1" t="s">
        <v>45</v>
      </c>
      <c r="C998" s="2">
        <v>46294</v>
      </c>
      <c r="D998" s="3">
        <v>0.48958333333333331</v>
      </c>
      <c r="E998">
        <v>51</v>
      </c>
      <c r="F998">
        <v>51</v>
      </c>
      <c r="G998">
        <v>3</v>
      </c>
      <c r="H998" s="1" t="s">
        <v>46</v>
      </c>
      <c r="I998">
        <v>18.5</v>
      </c>
      <c r="J998">
        <v>22</v>
      </c>
      <c r="K998" s="1" t="s">
        <v>47</v>
      </c>
      <c r="L998" s="1" t="s">
        <v>26</v>
      </c>
      <c r="M998">
        <v>0</v>
      </c>
      <c r="N998">
        <v>0</v>
      </c>
      <c r="O998" s="1" t="s">
        <v>27</v>
      </c>
      <c r="P998">
        <v>1</v>
      </c>
      <c r="Q998">
        <v>1</v>
      </c>
      <c r="R998">
        <v>1</v>
      </c>
      <c r="S998">
        <v>11</v>
      </c>
      <c r="T998">
        <v>0</v>
      </c>
      <c r="U998">
        <v>0</v>
      </c>
      <c r="V998">
        <v>2.76</v>
      </c>
    </row>
    <row r="999" spans="1:22">
      <c r="A999" s="1" t="s">
        <v>1045</v>
      </c>
      <c r="B999" s="1" t="s">
        <v>23</v>
      </c>
      <c r="C999" s="2">
        <v>46294</v>
      </c>
      <c r="D999" s="3">
        <v>0.22916666666666666</v>
      </c>
      <c r="E999">
        <v>106</v>
      </c>
      <c r="F999">
        <v>113</v>
      </c>
      <c r="G999">
        <v>3</v>
      </c>
      <c r="H999" s="1" t="s">
        <v>24</v>
      </c>
      <c r="I999">
        <v>15</v>
      </c>
      <c r="J999">
        <v>16</v>
      </c>
      <c r="K999" s="1" t="s">
        <v>25</v>
      </c>
      <c r="L999" s="1" t="s">
        <v>26</v>
      </c>
      <c r="M999">
        <v>0</v>
      </c>
      <c r="N999">
        <v>0</v>
      </c>
      <c r="O999" s="1" t="s">
        <v>27</v>
      </c>
      <c r="P999">
        <v>1</v>
      </c>
      <c r="Q999">
        <v>1</v>
      </c>
      <c r="R999">
        <v>0</v>
      </c>
      <c r="S999">
        <v>5</v>
      </c>
      <c r="T999">
        <v>0</v>
      </c>
      <c r="U999">
        <v>0</v>
      </c>
      <c r="V999">
        <v>7.07</v>
      </c>
    </row>
    <row r="1000" spans="1:22">
      <c r="A1000" s="1" t="s">
        <v>1046</v>
      </c>
      <c r="B1000" s="1" t="s">
        <v>29</v>
      </c>
      <c r="C1000" s="2">
        <v>46276</v>
      </c>
      <c r="D1000" s="3">
        <v>0.48958333333333331</v>
      </c>
      <c r="E1000">
        <v>66</v>
      </c>
      <c r="F1000">
        <v>66</v>
      </c>
      <c r="G1000">
        <v>4</v>
      </c>
      <c r="H1000" s="1" t="s">
        <v>30</v>
      </c>
      <c r="I1000">
        <v>32</v>
      </c>
      <c r="J1000">
        <v>14</v>
      </c>
      <c r="K1000" s="1" t="s">
        <v>31</v>
      </c>
      <c r="L1000" s="1" t="s">
        <v>49</v>
      </c>
      <c r="M1000">
        <v>0</v>
      </c>
      <c r="N1000">
        <v>0</v>
      </c>
      <c r="O1000" s="1" t="s">
        <v>27</v>
      </c>
      <c r="P1000">
        <v>1</v>
      </c>
      <c r="Q1000">
        <v>1</v>
      </c>
      <c r="R1000">
        <v>3</v>
      </c>
      <c r="S1000">
        <v>11</v>
      </c>
      <c r="T1000">
        <v>0</v>
      </c>
      <c r="U1000">
        <v>0</v>
      </c>
      <c r="V1000">
        <v>2.06</v>
      </c>
    </row>
    <row r="1001" spans="1:22">
      <c r="A1001" s="1" t="s">
        <v>1047</v>
      </c>
      <c r="B1001" s="1" t="s">
        <v>59</v>
      </c>
      <c r="C1001" s="2">
        <v>46285</v>
      </c>
      <c r="D1001" s="3">
        <v>0.69791666666666663</v>
      </c>
      <c r="E1001">
        <v>167</v>
      </c>
      <c r="F1001">
        <v>168</v>
      </c>
      <c r="G1001">
        <v>6</v>
      </c>
      <c r="H1001" s="1" t="s">
        <v>60</v>
      </c>
      <c r="I1001">
        <v>24.8</v>
      </c>
      <c r="J1001">
        <v>28</v>
      </c>
      <c r="K1001" s="1" t="s">
        <v>61</v>
      </c>
      <c r="L1001" s="1" t="s">
        <v>38</v>
      </c>
      <c r="M1001">
        <v>1</v>
      </c>
      <c r="N1001">
        <v>0</v>
      </c>
      <c r="O1001" s="1" t="s">
        <v>52</v>
      </c>
      <c r="P1001">
        <v>1</v>
      </c>
      <c r="Q1001">
        <v>1</v>
      </c>
      <c r="R1001">
        <v>4</v>
      </c>
      <c r="S1001">
        <v>16</v>
      </c>
      <c r="T1001">
        <v>0</v>
      </c>
      <c r="U1001">
        <v>1</v>
      </c>
      <c r="V1001">
        <v>6.73</v>
      </c>
    </row>
    <row r="1002" spans="1:22">
      <c r="A1002" s="1" t="s">
        <v>1048</v>
      </c>
      <c r="B1002" s="1" t="s">
        <v>23</v>
      </c>
      <c r="C1002" s="2">
        <v>46267</v>
      </c>
      <c r="D1002" s="3">
        <v>0.85416666666666663</v>
      </c>
      <c r="E1002">
        <v>175</v>
      </c>
      <c r="F1002">
        <v>170</v>
      </c>
      <c r="G1002">
        <v>6</v>
      </c>
      <c r="H1002" s="1" t="s">
        <v>24</v>
      </c>
      <c r="I1002">
        <v>15</v>
      </c>
      <c r="J1002">
        <v>16</v>
      </c>
      <c r="K1002" s="1" t="s">
        <v>25</v>
      </c>
      <c r="L1002" s="1" t="s">
        <v>69</v>
      </c>
      <c r="M1002">
        <v>0</v>
      </c>
      <c r="N1002">
        <v>0</v>
      </c>
      <c r="O1002" s="1" t="s">
        <v>27</v>
      </c>
      <c r="P1002">
        <v>1</v>
      </c>
      <c r="Q1002">
        <v>1</v>
      </c>
      <c r="R1002">
        <v>4</v>
      </c>
      <c r="S1002">
        <v>20</v>
      </c>
      <c r="T1002">
        <v>0</v>
      </c>
      <c r="U1002">
        <v>0</v>
      </c>
      <c r="V1002">
        <v>11.67</v>
      </c>
    </row>
    <row r="1003" spans="1:22">
      <c r="A1003" s="1" t="s">
        <v>1049</v>
      </c>
      <c r="B1003" s="1" t="s">
        <v>45</v>
      </c>
      <c r="C1003" s="2">
        <v>46280</v>
      </c>
      <c r="D1003" s="3">
        <v>0.33333333333333331</v>
      </c>
      <c r="E1003">
        <v>154</v>
      </c>
      <c r="F1003">
        <v>150</v>
      </c>
      <c r="G1003">
        <v>5</v>
      </c>
      <c r="H1003" s="1" t="s">
        <v>46</v>
      </c>
      <c r="I1003">
        <v>18.5</v>
      </c>
      <c r="J1003">
        <v>22</v>
      </c>
      <c r="K1003" s="1" t="s">
        <v>47</v>
      </c>
      <c r="L1003" s="1" t="s">
        <v>26</v>
      </c>
      <c r="M1003">
        <v>0</v>
      </c>
      <c r="N1003">
        <v>0</v>
      </c>
      <c r="O1003" s="1" t="s">
        <v>27</v>
      </c>
      <c r="P1003">
        <v>1</v>
      </c>
      <c r="Q1003">
        <v>1</v>
      </c>
      <c r="R1003">
        <v>2</v>
      </c>
      <c r="S1003">
        <v>8</v>
      </c>
      <c r="T1003">
        <v>1</v>
      </c>
      <c r="U1003">
        <v>0</v>
      </c>
      <c r="V1003">
        <v>8.32</v>
      </c>
    </row>
    <row r="1004" spans="1:22">
      <c r="A1004" s="1" t="s">
        <v>1050</v>
      </c>
      <c r="B1004" s="1" t="s">
        <v>29</v>
      </c>
      <c r="C1004" s="2">
        <v>46279</v>
      </c>
      <c r="D1004" s="3">
        <v>0.48958333333333331</v>
      </c>
      <c r="E1004">
        <v>182</v>
      </c>
      <c r="F1004">
        <v>174</v>
      </c>
      <c r="G1004">
        <v>7</v>
      </c>
      <c r="H1004" s="1" t="s">
        <v>30</v>
      </c>
      <c r="I1004">
        <v>32</v>
      </c>
      <c r="J1004">
        <v>14</v>
      </c>
      <c r="K1004" s="1" t="s">
        <v>31</v>
      </c>
      <c r="L1004" s="1" t="s">
        <v>65</v>
      </c>
      <c r="M1004">
        <v>0</v>
      </c>
      <c r="N1004">
        <v>0</v>
      </c>
      <c r="O1004" s="1" t="s">
        <v>27</v>
      </c>
      <c r="P1004">
        <v>1</v>
      </c>
      <c r="Q1004">
        <v>1</v>
      </c>
      <c r="R1004">
        <v>3</v>
      </c>
      <c r="S1004">
        <v>11</v>
      </c>
      <c r="T1004">
        <v>0</v>
      </c>
      <c r="U1004">
        <v>0</v>
      </c>
      <c r="V1004">
        <v>5.69</v>
      </c>
    </row>
    <row r="1005" spans="1:22">
      <c r="A1005" s="1" t="s">
        <v>1051</v>
      </c>
      <c r="B1005" s="1" t="s">
        <v>45</v>
      </c>
      <c r="C1005" s="2">
        <v>46285</v>
      </c>
      <c r="D1005" s="3">
        <v>0.8125</v>
      </c>
      <c r="E1005">
        <v>49</v>
      </c>
      <c r="F1005">
        <v>50</v>
      </c>
      <c r="G1005">
        <v>3</v>
      </c>
      <c r="H1005" s="1" t="s">
        <v>46</v>
      </c>
      <c r="I1005">
        <v>18.5</v>
      </c>
      <c r="J1005">
        <v>22</v>
      </c>
      <c r="K1005" s="1" t="s">
        <v>47</v>
      </c>
      <c r="L1005" s="1" t="s">
        <v>38</v>
      </c>
      <c r="M1005">
        <v>1</v>
      </c>
      <c r="N1005">
        <v>0</v>
      </c>
      <c r="O1005" s="1" t="s">
        <v>52</v>
      </c>
      <c r="P1005">
        <v>1</v>
      </c>
      <c r="Q1005">
        <v>1</v>
      </c>
      <c r="R1005">
        <v>10</v>
      </c>
      <c r="S1005">
        <v>19</v>
      </c>
      <c r="T1005">
        <v>1</v>
      </c>
      <c r="U1005">
        <v>1</v>
      </c>
      <c r="V1005">
        <v>2.65</v>
      </c>
    </row>
    <row r="1006" spans="1:22">
      <c r="A1006" s="1" t="s">
        <v>1052</v>
      </c>
      <c r="B1006" s="1" t="s">
        <v>34</v>
      </c>
      <c r="C1006" s="2">
        <v>46287</v>
      </c>
      <c r="D1006" s="3">
        <v>0.57291666666666663</v>
      </c>
      <c r="E1006">
        <v>74</v>
      </c>
      <c r="F1006">
        <v>63</v>
      </c>
      <c r="G1006">
        <v>4</v>
      </c>
      <c r="H1006" s="1" t="s">
        <v>35</v>
      </c>
      <c r="I1006">
        <v>12.2</v>
      </c>
      <c r="J1006">
        <v>18</v>
      </c>
      <c r="K1006" s="1" t="s">
        <v>36</v>
      </c>
      <c r="L1006" s="1" t="s">
        <v>26</v>
      </c>
      <c r="M1006">
        <v>0</v>
      </c>
      <c r="N1006">
        <v>0</v>
      </c>
      <c r="O1006" s="1" t="s">
        <v>27</v>
      </c>
      <c r="P1006">
        <v>1</v>
      </c>
      <c r="Q1006">
        <v>1</v>
      </c>
      <c r="R1006">
        <v>4</v>
      </c>
      <c r="S1006">
        <v>13</v>
      </c>
      <c r="T1006">
        <v>0</v>
      </c>
      <c r="U1006">
        <v>0</v>
      </c>
      <c r="V1006">
        <v>6.07</v>
      </c>
    </row>
    <row r="1007" spans="1:22">
      <c r="A1007" s="1" t="s">
        <v>1053</v>
      </c>
      <c r="B1007" s="1" t="s">
        <v>34</v>
      </c>
      <c r="C1007" s="2">
        <v>46276</v>
      </c>
      <c r="D1007" s="3">
        <v>0.65625</v>
      </c>
      <c r="E1007">
        <v>99</v>
      </c>
      <c r="F1007">
        <v>91</v>
      </c>
      <c r="G1007">
        <v>4</v>
      </c>
      <c r="H1007" s="1" t="s">
        <v>35</v>
      </c>
      <c r="I1007">
        <v>12.2</v>
      </c>
      <c r="J1007">
        <v>18</v>
      </c>
      <c r="K1007" s="1" t="s">
        <v>36</v>
      </c>
      <c r="L1007" s="1" t="s">
        <v>49</v>
      </c>
      <c r="M1007">
        <v>0</v>
      </c>
      <c r="N1007">
        <v>0</v>
      </c>
      <c r="O1007" s="1" t="s">
        <v>27</v>
      </c>
      <c r="P1007">
        <v>1</v>
      </c>
      <c r="Q1007">
        <v>1</v>
      </c>
      <c r="R1007">
        <v>4</v>
      </c>
      <c r="S1007">
        <v>15</v>
      </c>
      <c r="T1007">
        <v>0</v>
      </c>
      <c r="U1007">
        <v>0</v>
      </c>
      <c r="V1007">
        <v>8.11</v>
      </c>
    </row>
    <row r="1008" spans="1:22">
      <c r="A1008" s="1" t="s">
        <v>1054</v>
      </c>
      <c r="B1008" s="1" t="s">
        <v>29</v>
      </c>
      <c r="C1008" s="2">
        <v>46292</v>
      </c>
      <c r="D1008" s="3">
        <v>0.22916666666666666</v>
      </c>
      <c r="E1008">
        <v>120</v>
      </c>
      <c r="F1008">
        <v>109</v>
      </c>
      <c r="G1008">
        <v>6</v>
      </c>
      <c r="H1008" s="1" t="s">
        <v>30</v>
      </c>
      <c r="I1008">
        <v>32</v>
      </c>
      <c r="J1008">
        <v>14</v>
      </c>
      <c r="K1008" s="1" t="s">
        <v>31</v>
      </c>
      <c r="L1008" s="1" t="s">
        <v>38</v>
      </c>
      <c r="M1008">
        <v>1</v>
      </c>
      <c r="N1008">
        <v>0</v>
      </c>
      <c r="O1008" s="1" t="s">
        <v>134</v>
      </c>
      <c r="P1008">
        <v>1</v>
      </c>
      <c r="Q1008">
        <v>1</v>
      </c>
      <c r="R1008">
        <v>0</v>
      </c>
      <c r="S1008">
        <v>5</v>
      </c>
      <c r="T1008">
        <v>0</v>
      </c>
      <c r="U1008">
        <v>1</v>
      </c>
      <c r="V1008">
        <v>3.75</v>
      </c>
    </row>
    <row r="1009" spans="1:22">
      <c r="A1009" s="1" t="s">
        <v>1055</v>
      </c>
      <c r="B1009" s="1" t="s">
        <v>45</v>
      </c>
      <c r="C1009" s="2">
        <v>46268</v>
      </c>
      <c r="D1009" s="3">
        <v>0.5</v>
      </c>
      <c r="E1009">
        <v>108</v>
      </c>
      <c r="F1009">
        <v>107</v>
      </c>
      <c r="G1009">
        <v>4</v>
      </c>
      <c r="H1009" s="1" t="s">
        <v>46</v>
      </c>
      <c r="I1009">
        <v>18.5</v>
      </c>
      <c r="J1009">
        <v>22</v>
      </c>
      <c r="K1009" s="1" t="s">
        <v>47</v>
      </c>
      <c r="L1009" s="1" t="s">
        <v>56</v>
      </c>
      <c r="M1009">
        <v>0</v>
      </c>
      <c r="N1009">
        <v>0</v>
      </c>
      <c r="O1009" s="1" t="s">
        <v>27</v>
      </c>
      <c r="P1009">
        <v>1</v>
      </c>
      <c r="Q1009">
        <v>1</v>
      </c>
      <c r="R1009">
        <v>1</v>
      </c>
      <c r="S1009">
        <v>12</v>
      </c>
      <c r="T1009">
        <v>0</v>
      </c>
      <c r="U1009">
        <v>0</v>
      </c>
      <c r="V1009">
        <v>5.84</v>
      </c>
    </row>
    <row r="1010" spans="1:22">
      <c r="A1010" s="1" t="s">
        <v>1056</v>
      </c>
      <c r="B1010" s="1" t="s">
        <v>45</v>
      </c>
      <c r="C1010" s="2">
        <v>46282</v>
      </c>
      <c r="D1010" s="3">
        <v>0.36458333333333331</v>
      </c>
      <c r="E1010">
        <v>61</v>
      </c>
      <c r="F1010">
        <v>53</v>
      </c>
      <c r="G1010">
        <v>5</v>
      </c>
      <c r="H1010" s="1" t="s">
        <v>46</v>
      </c>
      <c r="I1010">
        <v>18.5</v>
      </c>
      <c r="J1010">
        <v>22</v>
      </c>
      <c r="K1010" s="1" t="s">
        <v>47</v>
      </c>
      <c r="L1010" s="1" t="s">
        <v>56</v>
      </c>
      <c r="M1010">
        <v>0</v>
      </c>
      <c r="N1010">
        <v>0</v>
      </c>
      <c r="O1010" s="1" t="s">
        <v>27</v>
      </c>
      <c r="P1010">
        <v>1</v>
      </c>
      <c r="Q1010">
        <v>1</v>
      </c>
      <c r="R1010">
        <v>1</v>
      </c>
      <c r="S1010">
        <v>8</v>
      </c>
      <c r="T1010">
        <v>1</v>
      </c>
      <c r="U1010">
        <v>0</v>
      </c>
      <c r="V1010">
        <v>3.3</v>
      </c>
    </row>
    <row r="1011" spans="1:22">
      <c r="A1011" s="1" t="s">
        <v>1057</v>
      </c>
      <c r="B1011" s="1" t="s">
        <v>45</v>
      </c>
      <c r="C1011" s="2">
        <v>46295</v>
      </c>
      <c r="D1011" s="3">
        <v>0.29166666666666669</v>
      </c>
      <c r="E1011">
        <v>80</v>
      </c>
      <c r="F1011">
        <v>82</v>
      </c>
      <c r="G1011">
        <v>3</v>
      </c>
      <c r="H1011" s="1" t="s">
        <v>46</v>
      </c>
      <c r="I1011">
        <v>18.5</v>
      </c>
      <c r="J1011">
        <v>22</v>
      </c>
      <c r="K1011" s="1" t="s">
        <v>47</v>
      </c>
      <c r="L1011" s="1" t="s">
        <v>69</v>
      </c>
      <c r="M1011">
        <v>0</v>
      </c>
      <c r="N1011">
        <v>0</v>
      </c>
      <c r="O1011" s="1" t="s">
        <v>27</v>
      </c>
      <c r="P1011">
        <v>1</v>
      </c>
      <c r="Q1011">
        <v>1</v>
      </c>
      <c r="R1011">
        <v>6</v>
      </c>
      <c r="S1011">
        <v>7</v>
      </c>
      <c r="T1011">
        <v>0</v>
      </c>
      <c r="U1011">
        <v>0</v>
      </c>
      <c r="V1011">
        <v>4.32</v>
      </c>
    </row>
    <row r="1012" spans="1:22">
      <c r="A1012" s="1" t="s">
        <v>1058</v>
      </c>
      <c r="B1012" s="1" t="s">
        <v>45</v>
      </c>
      <c r="C1012" s="2">
        <v>46277</v>
      </c>
      <c r="D1012" s="3">
        <v>0.54166666666666663</v>
      </c>
      <c r="E1012">
        <v>152</v>
      </c>
      <c r="F1012">
        <v>138</v>
      </c>
      <c r="G1012">
        <v>6</v>
      </c>
      <c r="H1012" s="1" t="s">
        <v>46</v>
      </c>
      <c r="I1012">
        <v>18.5</v>
      </c>
      <c r="J1012">
        <v>22</v>
      </c>
      <c r="K1012" s="1" t="s">
        <v>47</v>
      </c>
      <c r="L1012" s="1" t="s">
        <v>32</v>
      </c>
      <c r="M1012">
        <v>1</v>
      </c>
      <c r="N1012">
        <v>0</v>
      </c>
      <c r="O1012" s="1" t="s">
        <v>40</v>
      </c>
      <c r="P1012">
        <v>1</v>
      </c>
      <c r="Q1012">
        <v>1</v>
      </c>
      <c r="R1012">
        <v>8</v>
      </c>
      <c r="S1012">
        <v>13</v>
      </c>
      <c r="T1012">
        <v>0</v>
      </c>
      <c r="U1012">
        <v>1</v>
      </c>
      <c r="V1012">
        <v>8.2200000000000006</v>
      </c>
    </row>
    <row r="1013" spans="1:22">
      <c r="A1013" s="1" t="s">
        <v>1059</v>
      </c>
      <c r="B1013" s="1" t="s">
        <v>29</v>
      </c>
      <c r="C1013" s="2">
        <v>46289</v>
      </c>
      <c r="D1013" s="3">
        <v>0.26041666666666669</v>
      </c>
      <c r="E1013">
        <v>204</v>
      </c>
      <c r="F1013">
        <v>193</v>
      </c>
      <c r="G1013">
        <v>6</v>
      </c>
      <c r="H1013" s="1" t="s">
        <v>30</v>
      </c>
      <c r="I1013">
        <v>32</v>
      </c>
      <c r="J1013">
        <v>14</v>
      </c>
      <c r="K1013" s="1" t="s">
        <v>31</v>
      </c>
      <c r="L1013" s="1" t="s">
        <v>56</v>
      </c>
      <c r="M1013">
        <v>0</v>
      </c>
      <c r="N1013">
        <v>0</v>
      </c>
      <c r="O1013" s="1" t="s">
        <v>27</v>
      </c>
      <c r="P1013">
        <v>1</v>
      </c>
      <c r="Q1013">
        <v>1</v>
      </c>
      <c r="R1013">
        <v>4</v>
      </c>
      <c r="S1013">
        <v>6</v>
      </c>
      <c r="T1013">
        <v>0</v>
      </c>
      <c r="U1013">
        <v>0</v>
      </c>
      <c r="V1013">
        <v>6.38</v>
      </c>
    </row>
    <row r="1014" spans="1:22">
      <c r="A1014" s="1" t="s">
        <v>1060</v>
      </c>
      <c r="B1014" s="1" t="s">
        <v>29</v>
      </c>
      <c r="C1014" s="2">
        <v>46293</v>
      </c>
      <c r="D1014" s="3">
        <v>0.72916666666666663</v>
      </c>
      <c r="E1014">
        <v>40</v>
      </c>
      <c r="F1014">
        <v>47</v>
      </c>
      <c r="G1014">
        <v>3</v>
      </c>
      <c r="H1014" s="1" t="s">
        <v>30</v>
      </c>
      <c r="I1014">
        <v>32</v>
      </c>
      <c r="J1014">
        <v>14</v>
      </c>
      <c r="K1014" s="1" t="s">
        <v>31</v>
      </c>
      <c r="L1014" s="1" t="s">
        <v>65</v>
      </c>
      <c r="M1014">
        <v>0</v>
      </c>
      <c r="N1014">
        <v>0</v>
      </c>
      <c r="O1014" s="1" t="s">
        <v>27</v>
      </c>
      <c r="P1014">
        <v>1</v>
      </c>
      <c r="Q1014">
        <v>1</v>
      </c>
      <c r="R1014">
        <v>0</v>
      </c>
      <c r="S1014">
        <v>17</v>
      </c>
      <c r="T1014">
        <v>1</v>
      </c>
      <c r="U1014">
        <v>0</v>
      </c>
      <c r="V1014">
        <v>1.25</v>
      </c>
    </row>
    <row r="1015" spans="1:22">
      <c r="A1015" s="1" t="s">
        <v>1061</v>
      </c>
      <c r="B1015" s="1" t="s">
        <v>34</v>
      </c>
      <c r="C1015" s="2">
        <v>46294</v>
      </c>
      <c r="D1015" s="3">
        <v>0.67708333333333337</v>
      </c>
      <c r="E1015">
        <v>47</v>
      </c>
      <c r="F1015">
        <v>38</v>
      </c>
      <c r="G1015">
        <v>5</v>
      </c>
      <c r="H1015" s="1" t="s">
        <v>35</v>
      </c>
      <c r="I1015">
        <v>12.2</v>
      </c>
      <c r="J1015">
        <v>18</v>
      </c>
      <c r="K1015" s="1" t="s">
        <v>36</v>
      </c>
      <c r="L1015" s="1" t="s">
        <v>26</v>
      </c>
      <c r="M1015">
        <v>0</v>
      </c>
      <c r="N1015">
        <v>0</v>
      </c>
      <c r="O1015" s="1" t="s">
        <v>27</v>
      </c>
      <c r="P1015">
        <v>1</v>
      </c>
      <c r="Q1015">
        <v>1</v>
      </c>
      <c r="R1015">
        <v>0</v>
      </c>
      <c r="S1015">
        <v>16</v>
      </c>
      <c r="T1015">
        <v>0</v>
      </c>
      <c r="U1015">
        <v>0</v>
      </c>
      <c r="V1015">
        <v>3.85</v>
      </c>
    </row>
    <row r="1016" spans="1:22">
      <c r="A1016" s="1" t="s">
        <v>1062</v>
      </c>
      <c r="B1016" s="1" t="s">
        <v>45</v>
      </c>
      <c r="C1016" s="2">
        <v>46286</v>
      </c>
      <c r="D1016" s="3">
        <v>0.34375</v>
      </c>
      <c r="E1016">
        <v>179</v>
      </c>
      <c r="F1016">
        <v>180</v>
      </c>
      <c r="G1016">
        <v>6</v>
      </c>
      <c r="H1016" s="1" t="s">
        <v>46</v>
      </c>
      <c r="I1016">
        <v>18.5</v>
      </c>
      <c r="J1016">
        <v>22</v>
      </c>
      <c r="K1016" s="1" t="s">
        <v>47</v>
      </c>
      <c r="L1016" s="1" t="s">
        <v>65</v>
      </c>
      <c r="M1016">
        <v>0</v>
      </c>
      <c r="N1016">
        <v>0</v>
      </c>
      <c r="O1016" s="1" t="s">
        <v>27</v>
      </c>
      <c r="P1016">
        <v>1</v>
      </c>
      <c r="Q1016">
        <v>1</v>
      </c>
      <c r="R1016">
        <v>13</v>
      </c>
      <c r="S1016">
        <v>8</v>
      </c>
      <c r="T1016">
        <v>1</v>
      </c>
      <c r="U1016">
        <v>0</v>
      </c>
      <c r="V1016">
        <v>9.68</v>
      </c>
    </row>
    <row r="1017" spans="1:22">
      <c r="A1017" s="1" t="s">
        <v>1063</v>
      </c>
      <c r="B1017" s="1" t="s">
        <v>59</v>
      </c>
      <c r="C1017" s="2">
        <v>46280</v>
      </c>
      <c r="D1017" s="3">
        <v>0.5</v>
      </c>
      <c r="E1017">
        <v>93</v>
      </c>
      <c r="F1017">
        <v>88</v>
      </c>
      <c r="G1017">
        <v>5</v>
      </c>
      <c r="H1017" s="1" t="s">
        <v>60</v>
      </c>
      <c r="I1017">
        <v>24.8</v>
      </c>
      <c r="J1017">
        <v>28</v>
      </c>
      <c r="K1017" s="1" t="s">
        <v>61</v>
      </c>
      <c r="L1017" s="1" t="s">
        <v>26</v>
      </c>
      <c r="M1017">
        <v>0</v>
      </c>
      <c r="N1017">
        <v>0</v>
      </c>
      <c r="O1017" s="1" t="s">
        <v>27</v>
      </c>
      <c r="P1017">
        <v>1</v>
      </c>
      <c r="Q1017">
        <v>1</v>
      </c>
      <c r="R1017">
        <v>8</v>
      </c>
      <c r="S1017">
        <v>12</v>
      </c>
      <c r="T1017">
        <v>0</v>
      </c>
      <c r="U1017">
        <v>0</v>
      </c>
      <c r="V1017">
        <v>3.75</v>
      </c>
    </row>
    <row r="1018" spans="1:22">
      <c r="A1018" s="1" t="s">
        <v>1064</v>
      </c>
      <c r="B1018" s="1" t="s">
        <v>34</v>
      </c>
      <c r="C1018" s="2">
        <v>46281</v>
      </c>
      <c r="D1018" s="3">
        <v>0.40625</v>
      </c>
      <c r="E1018">
        <v>118</v>
      </c>
      <c r="F1018">
        <v>122</v>
      </c>
      <c r="G1018">
        <v>5</v>
      </c>
      <c r="H1018" s="1" t="s">
        <v>35</v>
      </c>
      <c r="I1018">
        <v>12.2</v>
      </c>
      <c r="J1018">
        <v>18</v>
      </c>
      <c r="K1018" s="1" t="s">
        <v>36</v>
      </c>
      <c r="L1018" s="1" t="s">
        <v>69</v>
      </c>
      <c r="M1018">
        <v>0</v>
      </c>
      <c r="N1018">
        <v>0</v>
      </c>
      <c r="O1018" s="1" t="s">
        <v>27</v>
      </c>
      <c r="P1018">
        <v>1</v>
      </c>
      <c r="Q1018">
        <v>1</v>
      </c>
      <c r="R1018">
        <v>1</v>
      </c>
      <c r="S1018">
        <v>9</v>
      </c>
      <c r="T1018">
        <v>1</v>
      </c>
      <c r="U1018">
        <v>0</v>
      </c>
      <c r="V1018">
        <v>9.67</v>
      </c>
    </row>
    <row r="1019" spans="1:22">
      <c r="A1019" s="1" t="s">
        <v>1065</v>
      </c>
      <c r="B1019" s="1" t="s">
        <v>45</v>
      </c>
      <c r="C1019" s="2">
        <v>46270</v>
      </c>
      <c r="D1019" s="3">
        <v>0.9375</v>
      </c>
      <c r="E1019">
        <v>113</v>
      </c>
      <c r="F1019">
        <v>104</v>
      </c>
      <c r="G1019">
        <v>3</v>
      </c>
      <c r="H1019" s="1" t="s">
        <v>46</v>
      </c>
      <c r="I1019">
        <v>18.5</v>
      </c>
      <c r="J1019">
        <v>22</v>
      </c>
      <c r="K1019" s="1" t="s">
        <v>47</v>
      </c>
      <c r="L1019" s="1" t="s">
        <v>32</v>
      </c>
      <c r="M1019">
        <v>1</v>
      </c>
      <c r="N1019">
        <v>1</v>
      </c>
      <c r="O1019" s="1" t="s">
        <v>27</v>
      </c>
      <c r="P1019">
        <v>1</v>
      </c>
      <c r="Q1019">
        <v>1</v>
      </c>
      <c r="R1019">
        <v>8</v>
      </c>
      <c r="S1019">
        <v>22</v>
      </c>
      <c r="T1019">
        <v>0</v>
      </c>
      <c r="U1019">
        <v>0</v>
      </c>
      <c r="V1019">
        <v>6.11</v>
      </c>
    </row>
    <row r="1020" spans="1:22">
      <c r="A1020" s="1" t="s">
        <v>1066</v>
      </c>
      <c r="B1020" s="1" t="s">
        <v>34</v>
      </c>
      <c r="C1020" s="2">
        <v>46292</v>
      </c>
      <c r="D1020" s="3">
        <v>0.82291666666666663</v>
      </c>
      <c r="E1020">
        <v>78</v>
      </c>
      <c r="F1020">
        <v>83</v>
      </c>
      <c r="G1020">
        <v>5</v>
      </c>
      <c r="H1020" s="1" t="s">
        <v>35</v>
      </c>
      <c r="I1020">
        <v>12.2</v>
      </c>
      <c r="J1020">
        <v>18</v>
      </c>
      <c r="K1020" s="1" t="s">
        <v>36</v>
      </c>
      <c r="L1020" s="1" t="s">
        <v>38</v>
      </c>
      <c r="M1020">
        <v>1</v>
      </c>
      <c r="N1020">
        <v>0</v>
      </c>
      <c r="O1020" s="1" t="s">
        <v>134</v>
      </c>
      <c r="P1020">
        <v>1</v>
      </c>
      <c r="Q1020">
        <v>1</v>
      </c>
      <c r="R1020">
        <v>10</v>
      </c>
      <c r="S1020">
        <v>19</v>
      </c>
      <c r="T1020">
        <v>1</v>
      </c>
      <c r="U1020">
        <v>1</v>
      </c>
      <c r="V1020">
        <v>6.39</v>
      </c>
    </row>
    <row r="1021" spans="1:22">
      <c r="A1021" s="1" t="s">
        <v>1067</v>
      </c>
      <c r="B1021" s="1" t="s">
        <v>59</v>
      </c>
      <c r="C1021" s="2">
        <v>46285</v>
      </c>
      <c r="D1021" s="3">
        <v>0.54166666666666663</v>
      </c>
      <c r="E1021">
        <v>113</v>
      </c>
      <c r="F1021">
        <v>113</v>
      </c>
      <c r="G1021">
        <v>5</v>
      </c>
      <c r="H1021" s="1" t="s">
        <v>60</v>
      </c>
      <c r="I1021">
        <v>24.8</v>
      </c>
      <c r="J1021">
        <v>28</v>
      </c>
      <c r="K1021" s="1" t="s">
        <v>61</v>
      </c>
      <c r="L1021" s="1" t="s">
        <v>38</v>
      </c>
      <c r="M1021">
        <v>1</v>
      </c>
      <c r="N1021">
        <v>0</v>
      </c>
      <c r="O1021" s="1" t="s">
        <v>52</v>
      </c>
      <c r="P1021">
        <v>1</v>
      </c>
      <c r="Q1021">
        <v>1</v>
      </c>
      <c r="R1021">
        <v>0</v>
      </c>
      <c r="S1021">
        <v>13</v>
      </c>
      <c r="T1021">
        <v>0</v>
      </c>
      <c r="U1021">
        <v>1</v>
      </c>
      <c r="V1021">
        <v>4.5599999999999996</v>
      </c>
    </row>
    <row r="1022" spans="1:22">
      <c r="A1022" s="1" t="s">
        <v>1068</v>
      </c>
      <c r="B1022" s="1" t="s">
        <v>29</v>
      </c>
      <c r="C1022" s="2">
        <v>46271</v>
      </c>
      <c r="D1022" s="3">
        <v>0.6875</v>
      </c>
      <c r="E1022">
        <v>72</v>
      </c>
      <c r="F1022">
        <v>67</v>
      </c>
      <c r="G1022">
        <v>4</v>
      </c>
      <c r="H1022" s="1" t="s">
        <v>30</v>
      </c>
      <c r="I1022">
        <v>32</v>
      </c>
      <c r="J1022">
        <v>14</v>
      </c>
      <c r="K1022" s="1" t="s">
        <v>31</v>
      </c>
      <c r="L1022" s="1" t="s">
        <v>38</v>
      </c>
      <c r="M1022">
        <v>1</v>
      </c>
      <c r="N1022">
        <v>0</v>
      </c>
      <c r="O1022" s="1" t="s">
        <v>27</v>
      </c>
      <c r="P1022">
        <v>1</v>
      </c>
      <c r="Q1022">
        <v>1</v>
      </c>
      <c r="R1022">
        <v>3</v>
      </c>
      <c r="S1022">
        <v>16</v>
      </c>
      <c r="T1022">
        <v>0</v>
      </c>
      <c r="U1022">
        <v>0</v>
      </c>
      <c r="V1022">
        <v>2.25</v>
      </c>
    </row>
    <row r="1023" spans="1:22">
      <c r="A1023" s="1" t="s">
        <v>1069</v>
      </c>
      <c r="B1023" s="1" t="s">
        <v>29</v>
      </c>
      <c r="C1023" s="2">
        <v>46284</v>
      </c>
      <c r="D1023" s="3">
        <v>0.58333333333333337</v>
      </c>
      <c r="E1023">
        <v>93</v>
      </c>
      <c r="F1023">
        <v>95</v>
      </c>
      <c r="G1023">
        <v>4</v>
      </c>
      <c r="H1023" s="1" t="s">
        <v>30</v>
      </c>
      <c r="I1023">
        <v>32</v>
      </c>
      <c r="J1023">
        <v>14</v>
      </c>
      <c r="K1023" s="1" t="s">
        <v>31</v>
      </c>
      <c r="L1023" s="1" t="s">
        <v>32</v>
      </c>
      <c r="M1023">
        <v>1</v>
      </c>
      <c r="N1023">
        <v>1</v>
      </c>
      <c r="O1023" s="1" t="s">
        <v>27</v>
      </c>
      <c r="P1023">
        <v>1</v>
      </c>
      <c r="Q1023">
        <v>1</v>
      </c>
      <c r="R1023">
        <v>8</v>
      </c>
      <c r="S1023">
        <v>14</v>
      </c>
      <c r="T1023">
        <v>0</v>
      </c>
      <c r="U1023">
        <v>0</v>
      </c>
      <c r="V1023">
        <v>2.91</v>
      </c>
    </row>
    <row r="1024" spans="1:22">
      <c r="A1024" s="1" t="s">
        <v>1070</v>
      </c>
      <c r="B1024" s="1" t="s">
        <v>29</v>
      </c>
      <c r="C1024" s="2">
        <v>46290</v>
      </c>
      <c r="D1024" s="3">
        <v>0.60416666666666663</v>
      </c>
      <c r="E1024">
        <v>73</v>
      </c>
      <c r="F1024">
        <v>66</v>
      </c>
      <c r="G1024">
        <v>3</v>
      </c>
      <c r="H1024" s="1" t="s">
        <v>30</v>
      </c>
      <c r="I1024">
        <v>32</v>
      </c>
      <c r="J1024">
        <v>14</v>
      </c>
      <c r="K1024" s="1" t="s">
        <v>31</v>
      </c>
      <c r="L1024" s="1" t="s">
        <v>49</v>
      </c>
      <c r="M1024">
        <v>0</v>
      </c>
      <c r="N1024">
        <v>0</v>
      </c>
      <c r="O1024" s="1" t="s">
        <v>27</v>
      </c>
      <c r="P1024">
        <v>1</v>
      </c>
      <c r="Q1024">
        <v>1</v>
      </c>
      <c r="R1024">
        <v>8</v>
      </c>
      <c r="S1024">
        <v>14</v>
      </c>
      <c r="T1024">
        <v>0</v>
      </c>
      <c r="U1024">
        <v>0</v>
      </c>
      <c r="V1024">
        <v>2.2799999999999998</v>
      </c>
    </row>
    <row r="1025" spans="1:22">
      <c r="A1025" s="1" t="s">
        <v>1071</v>
      </c>
      <c r="B1025" s="1" t="s">
        <v>29</v>
      </c>
      <c r="C1025" s="2">
        <v>46270</v>
      </c>
      <c r="D1025" s="3">
        <v>0.72916666666666663</v>
      </c>
      <c r="E1025">
        <v>178</v>
      </c>
      <c r="F1025">
        <v>171</v>
      </c>
      <c r="G1025">
        <v>7</v>
      </c>
      <c r="H1025" s="1" t="s">
        <v>30</v>
      </c>
      <c r="I1025">
        <v>32</v>
      </c>
      <c r="J1025">
        <v>14</v>
      </c>
      <c r="K1025" s="1" t="s">
        <v>31</v>
      </c>
      <c r="L1025" s="1" t="s">
        <v>32</v>
      </c>
      <c r="M1025">
        <v>1</v>
      </c>
      <c r="N1025">
        <v>1</v>
      </c>
      <c r="O1025" s="1" t="s">
        <v>27</v>
      </c>
      <c r="P1025">
        <v>1</v>
      </c>
      <c r="Q1025">
        <v>1</v>
      </c>
      <c r="R1025">
        <v>14</v>
      </c>
      <c r="S1025">
        <v>17</v>
      </c>
      <c r="T1025">
        <v>1</v>
      </c>
      <c r="U1025">
        <v>0</v>
      </c>
      <c r="V1025">
        <v>5.56</v>
      </c>
    </row>
    <row r="1026" spans="1:22">
      <c r="A1026" s="1" t="s">
        <v>1072</v>
      </c>
      <c r="B1026" s="1" t="s">
        <v>23</v>
      </c>
      <c r="C1026" s="2">
        <v>46268</v>
      </c>
      <c r="D1026" s="3">
        <v>0.625</v>
      </c>
      <c r="E1026">
        <v>52</v>
      </c>
      <c r="F1026">
        <v>45</v>
      </c>
      <c r="G1026">
        <v>4</v>
      </c>
      <c r="H1026" s="1" t="s">
        <v>24</v>
      </c>
      <c r="I1026">
        <v>15</v>
      </c>
      <c r="J1026">
        <v>16</v>
      </c>
      <c r="K1026" s="1" t="s">
        <v>25</v>
      </c>
      <c r="L1026" s="1" t="s">
        <v>56</v>
      </c>
      <c r="M1026">
        <v>0</v>
      </c>
      <c r="N1026">
        <v>0</v>
      </c>
      <c r="O1026" s="1" t="s">
        <v>27</v>
      </c>
      <c r="P1026">
        <v>1</v>
      </c>
      <c r="Q1026">
        <v>1</v>
      </c>
      <c r="R1026">
        <v>0</v>
      </c>
      <c r="S1026">
        <v>15</v>
      </c>
      <c r="T1026">
        <v>0</v>
      </c>
      <c r="U1026">
        <v>0</v>
      </c>
      <c r="V1026">
        <v>3.47</v>
      </c>
    </row>
    <row r="1027" spans="1:22">
      <c r="A1027" s="1" t="s">
        <v>1073</v>
      </c>
      <c r="B1027" s="1" t="s">
        <v>45</v>
      </c>
      <c r="C1027" s="2">
        <v>46292</v>
      </c>
      <c r="D1027" s="3">
        <v>0.53125</v>
      </c>
      <c r="E1027">
        <v>70</v>
      </c>
      <c r="F1027">
        <v>65</v>
      </c>
      <c r="G1027">
        <v>5</v>
      </c>
      <c r="H1027" s="1" t="s">
        <v>46</v>
      </c>
      <c r="I1027">
        <v>18.5</v>
      </c>
      <c r="J1027">
        <v>22</v>
      </c>
      <c r="K1027" s="1" t="s">
        <v>47</v>
      </c>
      <c r="L1027" s="1" t="s">
        <v>38</v>
      </c>
      <c r="M1027">
        <v>1</v>
      </c>
      <c r="N1027">
        <v>0</v>
      </c>
      <c r="O1027" s="1" t="s">
        <v>134</v>
      </c>
      <c r="P1027">
        <v>1</v>
      </c>
      <c r="Q1027">
        <v>1</v>
      </c>
      <c r="R1027">
        <v>0</v>
      </c>
      <c r="S1027">
        <v>12</v>
      </c>
      <c r="T1027">
        <v>0</v>
      </c>
      <c r="U1027">
        <v>1</v>
      </c>
      <c r="V1027">
        <v>3.78</v>
      </c>
    </row>
    <row r="1028" spans="1:22">
      <c r="A1028" s="1" t="s">
        <v>1074</v>
      </c>
      <c r="B1028" s="1" t="s">
        <v>23</v>
      </c>
      <c r="C1028" s="2">
        <v>46266</v>
      </c>
      <c r="D1028" s="3">
        <v>0.35416666666666669</v>
      </c>
      <c r="E1028">
        <v>66</v>
      </c>
      <c r="F1028">
        <v>65</v>
      </c>
      <c r="G1028">
        <v>3</v>
      </c>
      <c r="H1028" s="1" t="s">
        <v>24</v>
      </c>
      <c r="I1028">
        <v>15</v>
      </c>
      <c r="J1028">
        <v>16</v>
      </c>
      <c r="K1028" s="1" t="s">
        <v>25</v>
      </c>
      <c r="L1028" s="1" t="s">
        <v>26</v>
      </c>
      <c r="M1028">
        <v>0</v>
      </c>
      <c r="N1028">
        <v>0</v>
      </c>
      <c r="O1028" s="1" t="s">
        <v>27</v>
      </c>
      <c r="P1028">
        <v>1</v>
      </c>
      <c r="Q1028">
        <v>1</v>
      </c>
      <c r="R1028">
        <v>15</v>
      </c>
      <c r="S1028">
        <v>8</v>
      </c>
      <c r="T1028">
        <v>1</v>
      </c>
      <c r="U1028">
        <v>0</v>
      </c>
      <c r="V1028">
        <v>4.4000000000000004</v>
      </c>
    </row>
    <row r="1029" spans="1:22">
      <c r="A1029" s="1" t="s">
        <v>1075</v>
      </c>
      <c r="B1029" s="1" t="s">
        <v>23</v>
      </c>
      <c r="C1029" s="2">
        <v>46291</v>
      </c>
      <c r="D1029" s="3">
        <v>0.64583333333333337</v>
      </c>
      <c r="E1029">
        <v>48</v>
      </c>
      <c r="F1029">
        <v>47</v>
      </c>
      <c r="G1029">
        <v>3</v>
      </c>
      <c r="H1029" s="1" t="s">
        <v>24</v>
      </c>
      <c r="I1029">
        <v>15</v>
      </c>
      <c r="J1029">
        <v>16</v>
      </c>
      <c r="K1029" s="1" t="s">
        <v>25</v>
      </c>
      <c r="L1029" s="1" t="s">
        <v>32</v>
      </c>
      <c r="M1029">
        <v>1</v>
      </c>
      <c r="N1029">
        <v>0</v>
      </c>
      <c r="O1029" s="1" t="s">
        <v>27</v>
      </c>
      <c r="P1029">
        <v>1</v>
      </c>
      <c r="Q1029">
        <v>1</v>
      </c>
      <c r="R1029">
        <v>6</v>
      </c>
      <c r="S1029">
        <v>15</v>
      </c>
      <c r="T1029">
        <v>0</v>
      </c>
      <c r="U1029">
        <v>0</v>
      </c>
      <c r="V1029">
        <v>3.2</v>
      </c>
    </row>
    <row r="1030" spans="1:22">
      <c r="A1030" s="1" t="s">
        <v>1076</v>
      </c>
      <c r="B1030" s="1" t="s">
        <v>23</v>
      </c>
      <c r="C1030" s="2">
        <v>46293</v>
      </c>
      <c r="D1030" s="3">
        <v>0.20833333333333334</v>
      </c>
      <c r="E1030">
        <v>96</v>
      </c>
      <c r="F1030">
        <v>95</v>
      </c>
      <c r="G1030">
        <v>6</v>
      </c>
      <c r="H1030" s="1" t="s">
        <v>24</v>
      </c>
      <c r="I1030">
        <v>15</v>
      </c>
      <c r="J1030">
        <v>16</v>
      </c>
      <c r="K1030" s="1" t="s">
        <v>25</v>
      </c>
      <c r="L1030" s="1" t="s">
        <v>65</v>
      </c>
      <c r="M1030">
        <v>0</v>
      </c>
      <c r="N1030">
        <v>0</v>
      </c>
      <c r="O1030" s="1" t="s">
        <v>27</v>
      </c>
      <c r="P1030">
        <v>1</v>
      </c>
      <c r="Q1030">
        <v>1</v>
      </c>
      <c r="R1030">
        <v>1</v>
      </c>
      <c r="S1030">
        <v>5</v>
      </c>
      <c r="T1030">
        <v>0</v>
      </c>
      <c r="U1030">
        <v>0</v>
      </c>
      <c r="V1030">
        <v>6.4</v>
      </c>
    </row>
    <row r="1031" spans="1:22">
      <c r="A1031" s="1" t="s">
        <v>1077</v>
      </c>
      <c r="B1031" s="1" t="s">
        <v>29</v>
      </c>
      <c r="C1031" s="2">
        <v>46271</v>
      </c>
      <c r="D1031" s="3">
        <v>0.82291666666666663</v>
      </c>
      <c r="E1031">
        <v>132</v>
      </c>
      <c r="F1031">
        <v>135</v>
      </c>
      <c r="G1031">
        <v>4</v>
      </c>
      <c r="H1031" s="1" t="s">
        <v>30</v>
      </c>
      <c r="I1031">
        <v>32</v>
      </c>
      <c r="J1031">
        <v>14</v>
      </c>
      <c r="K1031" s="1" t="s">
        <v>31</v>
      </c>
      <c r="L1031" s="1" t="s">
        <v>38</v>
      </c>
      <c r="M1031">
        <v>1</v>
      </c>
      <c r="N1031">
        <v>0</v>
      </c>
      <c r="O1031" s="1" t="s">
        <v>27</v>
      </c>
      <c r="P1031">
        <v>1</v>
      </c>
      <c r="Q1031">
        <v>1</v>
      </c>
      <c r="R1031">
        <v>3</v>
      </c>
      <c r="S1031">
        <v>19</v>
      </c>
      <c r="T1031">
        <v>1</v>
      </c>
      <c r="U1031">
        <v>0</v>
      </c>
      <c r="V1031">
        <v>4.12</v>
      </c>
    </row>
    <row r="1032" spans="1:22">
      <c r="A1032" s="1" t="s">
        <v>1078</v>
      </c>
      <c r="B1032" s="1" t="s">
        <v>59</v>
      </c>
      <c r="C1032" s="2">
        <v>46280</v>
      </c>
      <c r="D1032" s="3">
        <v>0.44791666666666669</v>
      </c>
      <c r="E1032">
        <v>179</v>
      </c>
      <c r="F1032">
        <v>192</v>
      </c>
      <c r="G1032">
        <v>7</v>
      </c>
      <c r="H1032" s="1" t="s">
        <v>60</v>
      </c>
      <c r="I1032">
        <v>24.8</v>
      </c>
      <c r="J1032">
        <v>28</v>
      </c>
      <c r="K1032" s="1" t="s">
        <v>61</v>
      </c>
      <c r="L1032" s="1" t="s">
        <v>26</v>
      </c>
      <c r="M1032">
        <v>0</v>
      </c>
      <c r="N1032">
        <v>0</v>
      </c>
      <c r="O1032" s="1" t="s">
        <v>27</v>
      </c>
      <c r="P1032">
        <v>1</v>
      </c>
      <c r="Q1032">
        <v>1</v>
      </c>
      <c r="R1032">
        <v>5</v>
      </c>
      <c r="S1032">
        <v>10</v>
      </c>
      <c r="T1032">
        <v>1</v>
      </c>
      <c r="U1032">
        <v>0</v>
      </c>
      <c r="V1032">
        <v>7.22</v>
      </c>
    </row>
    <row r="1033" spans="1:22">
      <c r="A1033" s="1" t="s">
        <v>1079</v>
      </c>
      <c r="B1033" s="1" t="s">
        <v>29</v>
      </c>
      <c r="C1033" s="2">
        <v>46267</v>
      </c>
      <c r="D1033" s="3">
        <v>0.8125</v>
      </c>
      <c r="E1033">
        <v>36</v>
      </c>
      <c r="F1033">
        <v>35</v>
      </c>
      <c r="G1033">
        <v>3</v>
      </c>
      <c r="H1033" s="1" t="s">
        <v>30</v>
      </c>
      <c r="I1033">
        <v>32</v>
      </c>
      <c r="J1033">
        <v>14</v>
      </c>
      <c r="K1033" s="1" t="s">
        <v>31</v>
      </c>
      <c r="L1033" s="1" t="s">
        <v>69</v>
      </c>
      <c r="M1033">
        <v>0</v>
      </c>
      <c r="N1033">
        <v>0</v>
      </c>
      <c r="O1033" s="1" t="s">
        <v>27</v>
      </c>
      <c r="P1033">
        <v>1</v>
      </c>
      <c r="Q1033">
        <v>1</v>
      </c>
      <c r="R1033">
        <v>4</v>
      </c>
      <c r="S1033">
        <v>19</v>
      </c>
      <c r="T1033">
        <v>1</v>
      </c>
      <c r="U1033">
        <v>0</v>
      </c>
      <c r="V1033">
        <v>1.1200000000000001</v>
      </c>
    </row>
    <row r="1034" spans="1:22">
      <c r="A1034" s="1" t="s">
        <v>1080</v>
      </c>
      <c r="B1034" s="1" t="s">
        <v>29</v>
      </c>
      <c r="C1034" s="2">
        <v>46294</v>
      </c>
      <c r="D1034" s="3">
        <v>0.55208333333333337</v>
      </c>
      <c r="E1034">
        <v>75</v>
      </c>
      <c r="F1034">
        <v>78</v>
      </c>
      <c r="G1034">
        <v>3</v>
      </c>
      <c r="H1034" s="1" t="s">
        <v>30</v>
      </c>
      <c r="I1034">
        <v>32</v>
      </c>
      <c r="J1034">
        <v>14</v>
      </c>
      <c r="K1034" s="1" t="s">
        <v>31</v>
      </c>
      <c r="L1034" s="1" t="s">
        <v>26</v>
      </c>
      <c r="M1034">
        <v>0</v>
      </c>
      <c r="N1034">
        <v>0</v>
      </c>
      <c r="O1034" s="1" t="s">
        <v>27</v>
      </c>
      <c r="P1034">
        <v>1</v>
      </c>
      <c r="Q1034">
        <v>1</v>
      </c>
      <c r="R1034">
        <v>4</v>
      </c>
      <c r="S1034">
        <v>13</v>
      </c>
      <c r="T1034">
        <v>0</v>
      </c>
      <c r="U1034">
        <v>0</v>
      </c>
      <c r="V1034">
        <v>2.34</v>
      </c>
    </row>
    <row r="1035" spans="1:22">
      <c r="A1035" s="1" t="s">
        <v>1081</v>
      </c>
      <c r="B1035" s="1" t="s">
        <v>45</v>
      </c>
      <c r="C1035" s="2">
        <v>46268</v>
      </c>
      <c r="D1035" s="3">
        <v>0.92708333333333337</v>
      </c>
      <c r="E1035">
        <v>105</v>
      </c>
      <c r="F1035">
        <v>105</v>
      </c>
      <c r="G1035">
        <v>5</v>
      </c>
      <c r="H1035" s="1" t="s">
        <v>46</v>
      </c>
      <c r="I1035">
        <v>18.5</v>
      </c>
      <c r="J1035">
        <v>22</v>
      </c>
      <c r="K1035" s="1" t="s">
        <v>47</v>
      </c>
      <c r="L1035" s="1" t="s">
        <v>56</v>
      </c>
      <c r="M1035">
        <v>0</v>
      </c>
      <c r="N1035">
        <v>0</v>
      </c>
      <c r="O1035" s="1" t="s">
        <v>27</v>
      </c>
      <c r="P1035">
        <v>1</v>
      </c>
      <c r="Q1035">
        <v>1</v>
      </c>
      <c r="R1035">
        <v>4</v>
      </c>
      <c r="S1035">
        <v>22</v>
      </c>
      <c r="T1035">
        <v>0</v>
      </c>
      <c r="U1035">
        <v>0</v>
      </c>
      <c r="V1035">
        <v>5.68</v>
      </c>
    </row>
    <row r="1036" spans="1:22">
      <c r="A1036" s="1" t="s">
        <v>1082</v>
      </c>
      <c r="B1036" s="1" t="s">
        <v>29</v>
      </c>
      <c r="C1036" s="2">
        <v>46282</v>
      </c>
      <c r="D1036" s="3">
        <v>0.88541666666666663</v>
      </c>
      <c r="E1036">
        <v>61</v>
      </c>
      <c r="F1036">
        <v>60</v>
      </c>
      <c r="G1036">
        <v>3</v>
      </c>
      <c r="H1036" s="1" t="s">
        <v>30</v>
      </c>
      <c r="I1036">
        <v>32</v>
      </c>
      <c r="J1036">
        <v>14</v>
      </c>
      <c r="K1036" s="1" t="s">
        <v>31</v>
      </c>
      <c r="L1036" s="1" t="s">
        <v>56</v>
      </c>
      <c r="M1036">
        <v>0</v>
      </c>
      <c r="N1036">
        <v>0</v>
      </c>
      <c r="O1036" s="1" t="s">
        <v>27</v>
      </c>
      <c r="P1036">
        <v>1</v>
      </c>
      <c r="Q1036">
        <v>1</v>
      </c>
      <c r="R1036">
        <v>2</v>
      </c>
      <c r="S1036">
        <v>21</v>
      </c>
      <c r="T1036">
        <v>0</v>
      </c>
      <c r="U1036">
        <v>0</v>
      </c>
      <c r="V1036">
        <v>1.91</v>
      </c>
    </row>
    <row r="1037" spans="1:22">
      <c r="A1037" s="1" t="s">
        <v>1083</v>
      </c>
      <c r="B1037" s="1" t="s">
        <v>29</v>
      </c>
      <c r="C1037" s="2">
        <v>46290</v>
      </c>
      <c r="D1037" s="3">
        <v>0.40625</v>
      </c>
      <c r="E1037">
        <v>34</v>
      </c>
      <c r="F1037">
        <v>34</v>
      </c>
      <c r="G1037">
        <v>3</v>
      </c>
      <c r="H1037" s="1" t="s">
        <v>30</v>
      </c>
      <c r="I1037">
        <v>32</v>
      </c>
      <c r="J1037">
        <v>14</v>
      </c>
      <c r="K1037" s="1" t="s">
        <v>31</v>
      </c>
      <c r="L1037" s="1" t="s">
        <v>49</v>
      </c>
      <c r="M1037">
        <v>0</v>
      </c>
      <c r="N1037">
        <v>0</v>
      </c>
      <c r="O1037" s="1" t="s">
        <v>27</v>
      </c>
      <c r="P1037">
        <v>1</v>
      </c>
      <c r="Q1037">
        <v>1</v>
      </c>
      <c r="R1037">
        <v>7</v>
      </c>
      <c r="S1037">
        <v>9</v>
      </c>
      <c r="T1037">
        <v>1</v>
      </c>
      <c r="U1037">
        <v>0</v>
      </c>
      <c r="V1037">
        <v>1.06</v>
      </c>
    </row>
    <row r="1038" spans="1:22">
      <c r="A1038" s="1" t="s">
        <v>1084</v>
      </c>
      <c r="B1038" s="1" t="s">
        <v>29</v>
      </c>
      <c r="C1038" s="2">
        <v>46289</v>
      </c>
      <c r="D1038" s="3">
        <v>0.5625</v>
      </c>
      <c r="E1038">
        <v>94</v>
      </c>
      <c r="F1038">
        <v>87</v>
      </c>
      <c r="G1038">
        <v>5</v>
      </c>
      <c r="H1038" s="1" t="s">
        <v>30</v>
      </c>
      <c r="I1038">
        <v>32</v>
      </c>
      <c r="J1038">
        <v>14</v>
      </c>
      <c r="K1038" s="1" t="s">
        <v>31</v>
      </c>
      <c r="L1038" s="1" t="s">
        <v>56</v>
      </c>
      <c r="M1038">
        <v>0</v>
      </c>
      <c r="N1038">
        <v>0</v>
      </c>
      <c r="O1038" s="1" t="s">
        <v>27</v>
      </c>
      <c r="P1038">
        <v>1</v>
      </c>
      <c r="Q1038">
        <v>1</v>
      </c>
      <c r="R1038">
        <v>2</v>
      </c>
      <c r="S1038">
        <v>13</v>
      </c>
      <c r="T1038">
        <v>0</v>
      </c>
      <c r="U1038">
        <v>0</v>
      </c>
      <c r="V1038">
        <v>2.94</v>
      </c>
    </row>
    <row r="1039" spans="1:22">
      <c r="A1039" s="1" t="s">
        <v>1085</v>
      </c>
      <c r="B1039" s="1" t="s">
        <v>34</v>
      </c>
      <c r="C1039" s="2">
        <v>46277</v>
      </c>
      <c r="D1039" s="3">
        <v>0.21875</v>
      </c>
      <c r="E1039">
        <v>78</v>
      </c>
      <c r="F1039">
        <v>84</v>
      </c>
      <c r="G1039">
        <v>3</v>
      </c>
      <c r="H1039" s="1" t="s">
        <v>35</v>
      </c>
      <c r="I1039">
        <v>12.2</v>
      </c>
      <c r="J1039">
        <v>18</v>
      </c>
      <c r="K1039" s="1" t="s">
        <v>36</v>
      </c>
      <c r="L1039" s="1" t="s">
        <v>32</v>
      </c>
      <c r="M1039">
        <v>1</v>
      </c>
      <c r="N1039">
        <v>0</v>
      </c>
      <c r="O1039" s="1" t="s">
        <v>40</v>
      </c>
      <c r="P1039">
        <v>1</v>
      </c>
      <c r="Q1039">
        <v>1</v>
      </c>
      <c r="R1039">
        <v>3</v>
      </c>
      <c r="S1039">
        <v>5</v>
      </c>
      <c r="T1039">
        <v>0</v>
      </c>
      <c r="U1039">
        <v>1</v>
      </c>
      <c r="V1039">
        <v>6.39</v>
      </c>
    </row>
    <row r="1040" spans="1:22">
      <c r="A1040" s="1" t="s">
        <v>1086</v>
      </c>
      <c r="B1040" s="1" t="s">
        <v>45</v>
      </c>
      <c r="C1040" s="2">
        <v>46283</v>
      </c>
      <c r="D1040" s="3">
        <v>0.4375</v>
      </c>
      <c r="E1040">
        <v>146</v>
      </c>
      <c r="F1040">
        <v>136</v>
      </c>
      <c r="G1040">
        <v>7</v>
      </c>
      <c r="H1040" s="1" t="s">
        <v>46</v>
      </c>
      <c r="I1040">
        <v>18.5</v>
      </c>
      <c r="J1040">
        <v>22</v>
      </c>
      <c r="K1040" s="1" t="s">
        <v>47</v>
      </c>
      <c r="L1040" s="1" t="s">
        <v>49</v>
      </c>
      <c r="M1040">
        <v>0</v>
      </c>
      <c r="N1040">
        <v>0</v>
      </c>
      <c r="O1040" s="1" t="s">
        <v>27</v>
      </c>
      <c r="P1040">
        <v>1</v>
      </c>
      <c r="Q1040">
        <v>1</v>
      </c>
      <c r="R1040">
        <v>4</v>
      </c>
      <c r="S1040">
        <v>10</v>
      </c>
      <c r="T1040">
        <v>1</v>
      </c>
      <c r="U1040">
        <v>0</v>
      </c>
      <c r="V1040">
        <v>7.89</v>
      </c>
    </row>
    <row r="1041" spans="1:22">
      <c r="A1041" s="1" t="s">
        <v>1087</v>
      </c>
      <c r="B1041" s="1" t="s">
        <v>34</v>
      </c>
      <c r="C1041" s="2">
        <v>46280</v>
      </c>
      <c r="D1041" s="3">
        <v>0.27083333333333331</v>
      </c>
      <c r="E1041">
        <v>87</v>
      </c>
      <c r="F1041">
        <v>87</v>
      </c>
      <c r="G1041">
        <v>6</v>
      </c>
      <c r="H1041" s="1" t="s">
        <v>35</v>
      </c>
      <c r="I1041">
        <v>12.2</v>
      </c>
      <c r="J1041">
        <v>18</v>
      </c>
      <c r="K1041" s="1" t="s">
        <v>36</v>
      </c>
      <c r="L1041" s="1" t="s">
        <v>26</v>
      </c>
      <c r="M1041">
        <v>0</v>
      </c>
      <c r="N1041">
        <v>0</v>
      </c>
      <c r="O1041" s="1" t="s">
        <v>27</v>
      </c>
      <c r="P1041">
        <v>1</v>
      </c>
      <c r="Q1041">
        <v>1</v>
      </c>
      <c r="R1041">
        <v>2</v>
      </c>
      <c r="S1041">
        <v>6</v>
      </c>
      <c r="T1041">
        <v>0</v>
      </c>
      <c r="U1041">
        <v>0</v>
      </c>
      <c r="V1041">
        <v>7.13</v>
      </c>
    </row>
    <row r="1042" spans="1:22">
      <c r="A1042" s="1" t="s">
        <v>1088</v>
      </c>
      <c r="B1042" s="1" t="s">
        <v>45</v>
      </c>
      <c r="C1042" s="2">
        <v>46277</v>
      </c>
      <c r="D1042" s="3">
        <v>0.75</v>
      </c>
      <c r="E1042">
        <v>56</v>
      </c>
      <c r="F1042">
        <v>50</v>
      </c>
      <c r="G1042">
        <v>3</v>
      </c>
      <c r="H1042" s="1" t="s">
        <v>46</v>
      </c>
      <c r="I1042">
        <v>18.5</v>
      </c>
      <c r="J1042">
        <v>22</v>
      </c>
      <c r="K1042" s="1" t="s">
        <v>47</v>
      </c>
      <c r="L1042" s="1" t="s">
        <v>32</v>
      </c>
      <c r="M1042">
        <v>1</v>
      </c>
      <c r="N1042">
        <v>0</v>
      </c>
      <c r="O1042" s="1" t="s">
        <v>40</v>
      </c>
      <c r="P1042">
        <v>1</v>
      </c>
      <c r="Q1042">
        <v>1</v>
      </c>
      <c r="R1042">
        <v>8</v>
      </c>
      <c r="S1042">
        <v>18</v>
      </c>
      <c r="T1042">
        <v>1</v>
      </c>
      <c r="U1042">
        <v>1</v>
      </c>
      <c r="V1042">
        <v>3.03</v>
      </c>
    </row>
    <row r="1043" spans="1:22">
      <c r="A1043" s="1" t="s">
        <v>1089</v>
      </c>
      <c r="B1043" s="1" t="s">
        <v>29</v>
      </c>
      <c r="C1043" s="2">
        <v>46281</v>
      </c>
      <c r="D1043" s="3">
        <v>0.42708333333333331</v>
      </c>
      <c r="E1043">
        <v>101</v>
      </c>
      <c r="F1043">
        <v>92</v>
      </c>
      <c r="G1043">
        <v>5</v>
      </c>
      <c r="H1043" s="1" t="s">
        <v>30</v>
      </c>
      <c r="I1043">
        <v>32</v>
      </c>
      <c r="J1043">
        <v>14</v>
      </c>
      <c r="K1043" s="1" t="s">
        <v>31</v>
      </c>
      <c r="L1043" s="1" t="s">
        <v>69</v>
      </c>
      <c r="M1043">
        <v>0</v>
      </c>
      <c r="N1043">
        <v>0</v>
      </c>
      <c r="O1043" s="1" t="s">
        <v>27</v>
      </c>
      <c r="P1043">
        <v>1</v>
      </c>
      <c r="Q1043">
        <v>1</v>
      </c>
      <c r="R1043">
        <v>6</v>
      </c>
      <c r="S1043">
        <v>10</v>
      </c>
      <c r="T1043">
        <v>1</v>
      </c>
      <c r="U1043">
        <v>0</v>
      </c>
      <c r="V1043">
        <v>3.16</v>
      </c>
    </row>
    <row r="1044" spans="1:22">
      <c r="A1044" s="1" t="s">
        <v>1090</v>
      </c>
      <c r="B1044" s="1" t="s">
        <v>29</v>
      </c>
      <c r="C1044" s="2">
        <v>46292</v>
      </c>
      <c r="D1044" s="3">
        <v>0.92708333333333337</v>
      </c>
      <c r="E1044">
        <v>74</v>
      </c>
      <c r="F1044">
        <v>70</v>
      </c>
      <c r="G1044">
        <v>4</v>
      </c>
      <c r="H1044" s="1" t="s">
        <v>30</v>
      </c>
      <c r="I1044">
        <v>32</v>
      </c>
      <c r="J1044">
        <v>14</v>
      </c>
      <c r="K1044" s="1" t="s">
        <v>31</v>
      </c>
      <c r="L1044" s="1" t="s">
        <v>38</v>
      </c>
      <c r="M1044">
        <v>1</v>
      </c>
      <c r="N1044">
        <v>0</v>
      </c>
      <c r="O1044" s="1" t="s">
        <v>134</v>
      </c>
      <c r="P1044">
        <v>1</v>
      </c>
      <c r="Q1044">
        <v>1</v>
      </c>
      <c r="R1044">
        <v>1</v>
      </c>
      <c r="S1044">
        <v>22</v>
      </c>
      <c r="T1044">
        <v>0</v>
      </c>
      <c r="U1044">
        <v>1</v>
      </c>
      <c r="V1044">
        <v>2.31</v>
      </c>
    </row>
    <row r="1045" spans="1:22">
      <c r="A1045" s="1" t="s">
        <v>1091</v>
      </c>
      <c r="B1045" s="1" t="s">
        <v>34</v>
      </c>
      <c r="C1045" s="2">
        <v>46273</v>
      </c>
      <c r="D1045" s="3">
        <v>0.59375</v>
      </c>
      <c r="E1045">
        <v>119</v>
      </c>
      <c r="F1045">
        <v>125</v>
      </c>
      <c r="G1045">
        <v>3</v>
      </c>
      <c r="H1045" s="1" t="s">
        <v>35</v>
      </c>
      <c r="I1045">
        <v>12.2</v>
      </c>
      <c r="J1045">
        <v>18</v>
      </c>
      <c r="K1045" s="1" t="s">
        <v>36</v>
      </c>
      <c r="L1045" s="1" t="s">
        <v>26</v>
      </c>
      <c r="M1045">
        <v>0</v>
      </c>
      <c r="N1045">
        <v>0</v>
      </c>
      <c r="O1045" s="1" t="s">
        <v>27</v>
      </c>
      <c r="P1045">
        <v>1</v>
      </c>
      <c r="Q1045">
        <v>1</v>
      </c>
      <c r="R1045">
        <v>14</v>
      </c>
      <c r="S1045">
        <v>14</v>
      </c>
      <c r="T1045">
        <v>0</v>
      </c>
      <c r="U1045">
        <v>0</v>
      </c>
      <c r="V1045">
        <v>9.75</v>
      </c>
    </row>
    <row r="1046" spans="1:22">
      <c r="A1046" s="1" t="s">
        <v>1092</v>
      </c>
      <c r="B1046" s="1" t="s">
        <v>34</v>
      </c>
      <c r="C1046" s="2">
        <v>46293</v>
      </c>
      <c r="D1046" s="3">
        <v>0.72916666666666663</v>
      </c>
      <c r="E1046">
        <v>94</v>
      </c>
      <c r="F1046">
        <v>92</v>
      </c>
      <c r="G1046">
        <v>4</v>
      </c>
      <c r="H1046" s="1" t="s">
        <v>35</v>
      </c>
      <c r="I1046">
        <v>12.2</v>
      </c>
      <c r="J1046">
        <v>18</v>
      </c>
      <c r="K1046" s="1" t="s">
        <v>36</v>
      </c>
      <c r="L1046" s="1" t="s">
        <v>65</v>
      </c>
      <c r="M1046">
        <v>0</v>
      </c>
      <c r="N1046">
        <v>0</v>
      </c>
      <c r="O1046" s="1" t="s">
        <v>27</v>
      </c>
      <c r="P1046">
        <v>1</v>
      </c>
      <c r="Q1046">
        <v>1</v>
      </c>
      <c r="R1046">
        <v>6</v>
      </c>
      <c r="S1046">
        <v>17</v>
      </c>
      <c r="T1046">
        <v>1</v>
      </c>
      <c r="U1046">
        <v>0</v>
      </c>
      <c r="V1046">
        <v>7.7</v>
      </c>
    </row>
    <row r="1047" spans="1:22">
      <c r="A1047" s="1" t="s">
        <v>1093</v>
      </c>
      <c r="B1047" s="1" t="s">
        <v>45</v>
      </c>
      <c r="C1047" s="2">
        <v>46279</v>
      </c>
      <c r="D1047" s="3">
        <v>0.30208333333333331</v>
      </c>
      <c r="E1047">
        <v>115</v>
      </c>
      <c r="F1047">
        <v>110</v>
      </c>
      <c r="G1047">
        <v>6</v>
      </c>
      <c r="H1047" s="1" t="s">
        <v>46</v>
      </c>
      <c r="I1047">
        <v>18.5</v>
      </c>
      <c r="J1047">
        <v>22</v>
      </c>
      <c r="K1047" s="1" t="s">
        <v>47</v>
      </c>
      <c r="L1047" s="1" t="s">
        <v>65</v>
      </c>
      <c r="M1047">
        <v>0</v>
      </c>
      <c r="N1047">
        <v>0</v>
      </c>
      <c r="O1047" s="1" t="s">
        <v>27</v>
      </c>
      <c r="P1047">
        <v>1</v>
      </c>
      <c r="Q1047">
        <v>1</v>
      </c>
      <c r="R1047">
        <v>4</v>
      </c>
      <c r="S1047">
        <v>7</v>
      </c>
      <c r="T1047">
        <v>0</v>
      </c>
      <c r="U1047">
        <v>0</v>
      </c>
      <c r="V1047">
        <v>6.22</v>
      </c>
    </row>
    <row r="1048" spans="1:22">
      <c r="A1048" s="1" t="s">
        <v>1094</v>
      </c>
      <c r="B1048" s="1" t="s">
        <v>29</v>
      </c>
      <c r="C1048" s="2">
        <v>46290</v>
      </c>
      <c r="D1048" s="3">
        <v>0.41666666666666669</v>
      </c>
      <c r="E1048">
        <v>51</v>
      </c>
      <c r="F1048">
        <v>67</v>
      </c>
      <c r="G1048">
        <v>4</v>
      </c>
      <c r="H1048" s="1" t="s">
        <v>30</v>
      </c>
      <c r="I1048">
        <v>32</v>
      </c>
      <c r="J1048">
        <v>14</v>
      </c>
      <c r="K1048" s="1" t="s">
        <v>31</v>
      </c>
      <c r="L1048" s="1" t="s">
        <v>49</v>
      </c>
      <c r="M1048">
        <v>0</v>
      </c>
      <c r="N1048">
        <v>0</v>
      </c>
      <c r="O1048" s="1" t="s">
        <v>27</v>
      </c>
      <c r="P1048">
        <v>1</v>
      </c>
      <c r="Q1048">
        <v>1</v>
      </c>
      <c r="R1048">
        <v>2</v>
      </c>
      <c r="S1048">
        <v>10</v>
      </c>
      <c r="T1048">
        <v>1</v>
      </c>
      <c r="U1048">
        <v>0</v>
      </c>
      <c r="V1048">
        <v>1.59</v>
      </c>
    </row>
    <row r="1049" spans="1:22">
      <c r="A1049" s="1" t="s">
        <v>1095</v>
      </c>
      <c r="B1049" s="1" t="s">
        <v>45</v>
      </c>
      <c r="C1049" s="2">
        <v>46282</v>
      </c>
      <c r="D1049" s="3">
        <v>0.53125</v>
      </c>
      <c r="E1049">
        <v>189</v>
      </c>
      <c r="F1049">
        <v>186</v>
      </c>
      <c r="G1049">
        <v>4</v>
      </c>
      <c r="H1049" s="1" t="s">
        <v>46</v>
      </c>
      <c r="I1049">
        <v>18.5</v>
      </c>
      <c r="J1049">
        <v>22</v>
      </c>
      <c r="K1049" s="1" t="s">
        <v>47</v>
      </c>
      <c r="L1049" s="1" t="s">
        <v>56</v>
      </c>
      <c r="M1049">
        <v>0</v>
      </c>
      <c r="N1049">
        <v>0</v>
      </c>
      <c r="O1049" s="1" t="s">
        <v>27</v>
      </c>
      <c r="P1049">
        <v>1</v>
      </c>
      <c r="Q1049">
        <v>1</v>
      </c>
      <c r="R1049">
        <v>3</v>
      </c>
      <c r="S1049">
        <v>12</v>
      </c>
      <c r="T1049">
        <v>0</v>
      </c>
      <c r="U1049">
        <v>0</v>
      </c>
      <c r="V1049">
        <v>10.220000000000001</v>
      </c>
    </row>
    <row r="1050" spans="1:22">
      <c r="A1050" s="1" t="s">
        <v>1096</v>
      </c>
      <c r="B1050" s="1" t="s">
        <v>34</v>
      </c>
      <c r="C1050" s="2">
        <v>46294</v>
      </c>
      <c r="D1050" s="3">
        <v>0.72916666666666663</v>
      </c>
      <c r="E1050">
        <v>90</v>
      </c>
      <c r="F1050">
        <v>88</v>
      </c>
      <c r="G1050">
        <v>3</v>
      </c>
      <c r="H1050" s="1" t="s">
        <v>35</v>
      </c>
      <c r="I1050">
        <v>12.2</v>
      </c>
      <c r="J1050">
        <v>18</v>
      </c>
      <c r="K1050" s="1" t="s">
        <v>36</v>
      </c>
      <c r="L1050" s="1" t="s">
        <v>26</v>
      </c>
      <c r="M1050">
        <v>0</v>
      </c>
      <c r="N1050">
        <v>0</v>
      </c>
      <c r="O1050" s="1" t="s">
        <v>27</v>
      </c>
      <c r="P1050">
        <v>1</v>
      </c>
      <c r="Q1050">
        <v>1</v>
      </c>
      <c r="R1050">
        <v>1</v>
      </c>
      <c r="S1050">
        <v>17</v>
      </c>
      <c r="T1050">
        <v>1</v>
      </c>
      <c r="U1050">
        <v>0</v>
      </c>
      <c r="V1050">
        <v>7.38</v>
      </c>
    </row>
    <row r="1051" spans="1:22">
      <c r="A1051" s="1" t="s">
        <v>1097</v>
      </c>
      <c r="B1051" s="1" t="s">
        <v>59</v>
      </c>
      <c r="C1051" s="2">
        <v>46286</v>
      </c>
      <c r="D1051" s="3">
        <v>0.66666666666666663</v>
      </c>
      <c r="E1051">
        <v>79</v>
      </c>
      <c r="F1051">
        <v>75</v>
      </c>
      <c r="G1051">
        <v>4</v>
      </c>
      <c r="H1051" s="1" t="s">
        <v>60</v>
      </c>
      <c r="I1051">
        <v>24.8</v>
      </c>
      <c r="J1051">
        <v>28</v>
      </c>
      <c r="K1051" s="1" t="s">
        <v>61</v>
      </c>
      <c r="L1051" s="1" t="s">
        <v>65</v>
      </c>
      <c r="M1051">
        <v>0</v>
      </c>
      <c r="N1051">
        <v>0</v>
      </c>
      <c r="O1051" s="1" t="s">
        <v>27</v>
      </c>
      <c r="P1051">
        <v>1</v>
      </c>
      <c r="Q1051">
        <v>1</v>
      </c>
      <c r="R1051">
        <v>0</v>
      </c>
      <c r="S1051">
        <v>16</v>
      </c>
      <c r="T1051">
        <v>0</v>
      </c>
      <c r="U1051">
        <v>0</v>
      </c>
      <c r="V1051">
        <v>3.19</v>
      </c>
    </row>
    <row r="1052" spans="1:22">
      <c r="A1052" s="1" t="s">
        <v>1098</v>
      </c>
      <c r="B1052" s="1" t="s">
        <v>34</v>
      </c>
      <c r="C1052" s="2">
        <v>46273</v>
      </c>
      <c r="D1052" s="3">
        <v>0.90625</v>
      </c>
      <c r="E1052">
        <v>124</v>
      </c>
      <c r="F1052">
        <v>124</v>
      </c>
      <c r="G1052">
        <v>6</v>
      </c>
      <c r="H1052" s="1" t="s">
        <v>35</v>
      </c>
      <c r="I1052">
        <v>12.2</v>
      </c>
      <c r="J1052">
        <v>18</v>
      </c>
      <c r="K1052" s="1" t="s">
        <v>36</v>
      </c>
      <c r="L1052" s="1" t="s">
        <v>26</v>
      </c>
      <c r="M1052">
        <v>0</v>
      </c>
      <c r="N1052">
        <v>0</v>
      </c>
      <c r="O1052" s="1" t="s">
        <v>27</v>
      </c>
      <c r="P1052">
        <v>1</v>
      </c>
      <c r="Q1052">
        <v>1</v>
      </c>
      <c r="R1052">
        <v>0</v>
      </c>
      <c r="S1052">
        <v>21</v>
      </c>
      <c r="T1052">
        <v>0</v>
      </c>
      <c r="U1052">
        <v>0</v>
      </c>
      <c r="V1052">
        <v>10.16</v>
      </c>
    </row>
    <row r="1053" spans="1:22">
      <c r="A1053" s="1" t="s">
        <v>1099</v>
      </c>
      <c r="B1053" s="1" t="s">
        <v>59</v>
      </c>
      <c r="C1053" s="2">
        <v>46280</v>
      </c>
      <c r="D1053" s="3">
        <v>0.625</v>
      </c>
      <c r="E1053">
        <v>162</v>
      </c>
      <c r="F1053">
        <v>165</v>
      </c>
      <c r="G1053">
        <v>5</v>
      </c>
      <c r="H1053" s="1" t="s">
        <v>60</v>
      </c>
      <c r="I1053">
        <v>24.8</v>
      </c>
      <c r="J1053">
        <v>28</v>
      </c>
      <c r="K1053" s="1" t="s">
        <v>61</v>
      </c>
      <c r="L1053" s="1" t="s">
        <v>26</v>
      </c>
      <c r="M1053">
        <v>0</v>
      </c>
      <c r="N1053">
        <v>0</v>
      </c>
      <c r="O1053" s="1" t="s">
        <v>27</v>
      </c>
      <c r="P1053">
        <v>1</v>
      </c>
      <c r="Q1053">
        <v>1</v>
      </c>
      <c r="R1053">
        <v>4</v>
      </c>
      <c r="S1053">
        <v>15</v>
      </c>
      <c r="T1053">
        <v>0</v>
      </c>
      <c r="U1053">
        <v>0</v>
      </c>
      <c r="V1053">
        <v>6.53</v>
      </c>
    </row>
    <row r="1054" spans="1:22">
      <c r="A1054" s="1" t="s">
        <v>1100</v>
      </c>
      <c r="B1054" s="1" t="s">
        <v>45</v>
      </c>
      <c r="C1054" s="2">
        <v>46292</v>
      </c>
      <c r="D1054" s="3">
        <v>0.9375</v>
      </c>
      <c r="E1054">
        <v>77</v>
      </c>
      <c r="F1054">
        <v>77</v>
      </c>
      <c r="G1054">
        <v>6</v>
      </c>
      <c r="H1054" s="1" t="s">
        <v>46</v>
      </c>
      <c r="I1054">
        <v>18.5</v>
      </c>
      <c r="J1054">
        <v>22</v>
      </c>
      <c r="K1054" s="1" t="s">
        <v>47</v>
      </c>
      <c r="L1054" s="1" t="s">
        <v>38</v>
      </c>
      <c r="M1054">
        <v>1</v>
      </c>
      <c r="N1054">
        <v>0</v>
      </c>
      <c r="O1054" s="1" t="s">
        <v>134</v>
      </c>
      <c r="P1054">
        <v>1</v>
      </c>
      <c r="Q1054">
        <v>1</v>
      </c>
      <c r="R1054">
        <v>9</v>
      </c>
      <c r="S1054">
        <v>22</v>
      </c>
      <c r="T1054">
        <v>0</v>
      </c>
      <c r="U1054">
        <v>1</v>
      </c>
      <c r="V1054">
        <v>4.16</v>
      </c>
    </row>
    <row r="1055" spans="1:22">
      <c r="A1055" s="1" t="s">
        <v>1101</v>
      </c>
      <c r="B1055" s="1" t="s">
        <v>34</v>
      </c>
      <c r="C1055" s="2">
        <v>46279</v>
      </c>
      <c r="D1055" s="3">
        <v>0.67708333333333337</v>
      </c>
      <c r="E1055">
        <v>111</v>
      </c>
      <c r="F1055">
        <v>122</v>
      </c>
      <c r="G1055">
        <v>3</v>
      </c>
      <c r="H1055" s="1" t="s">
        <v>35</v>
      </c>
      <c r="I1055">
        <v>12.2</v>
      </c>
      <c r="J1055">
        <v>18</v>
      </c>
      <c r="K1055" s="1" t="s">
        <v>36</v>
      </c>
      <c r="L1055" s="1" t="s">
        <v>65</v>
      </c>
      <c r="M1055">
        <v>0</v>
      </c>
      <c r="N1055">
        <v>0</v>
      </c>
      <c r="O1055" s="1" t="s">
        <v>27</v>
      </c>
      <c r="P1055">
        <v>1</v>
      </c>
      <c r="Q1055">
        <v>1</v>
      </c>
      <c r="R1055">
        <v>12</v>
      </c>
      <c r="S1055">
        <v>16</v>
      </c>
      <c r="T1055">
        <v>0</v>
      </c>
      <c r="U1055">
        <v>0</v>
      </c>
      <c r="V1055">
        <v>9.1</v>
      </c>
    </row>
    <row r="1056" spans="1:22">
      <c r="A1056" s="1" t="s">
        <v>1102</v>
      </c>
      <c r="B1056" s="1" t="s">
        <v>45</v>
      </c>
      <c r="C1056" s="2">
        <v>46283</v>
      </c>
      <c r="D1056" s="3">
        <v>0.57291666666666663</v>
      </c>
      <c r="E1056">
        <v>111</v>
      </c>
      <c r="F1056">
        <v>109</v>
      </c>
      <c r="G1056">
        <v>5</v>
      </c>
      <c r="H1056" s="1" t="s">
        <v>46</v>
      </c>
      <c r="I1056">
        <v>18.5</v>
      </c>
      <c r="J1056">
        <v>22</v>
      </c>
      <c r="K1056" s="1" t="s">
        <v>47</v>
      </c>
      <c r="L1056" s="1" t="s">
        <v>49</v>
      </c>
      <c r="M1056">
        <v>0</v>
      </c>
      <c r="N1056">
        <v>0</v>
      </c>
      <c r="O1056" s="1" t="s">
        <v>27</v>
      </c>
      <c r="P1056">
        <v>1</v>
      </c>
      <c r="Q1056">
        <v>1</v>
      </c>
      <c r="R1056">
        <v>6</v>
      </c>
      <c r="S1056">
        <v>13</v>
      </c>
      <c r="T1056">
        <v>0</v>
      </c>
      <c r="U1056">
        <v>0</v>
      </c>
      <c r="V1056">
        <v>6</v>
      </c>
    </row>
    <row r="1057" spans="1:22">
      <c r="A1057" s="1" t="s">
        <v>1103</v>
      </c>
      <c r="B1057" s="1" t="s">
        <v>29</v>
      </c>
      <c r="C1057" s="2">
        <v>46285</v>
      </c>
      <c r="D1057" s="3">
        <v>0.35416666666666669</v>
      </c>
      <c r="E1057">
        <v>85</v>
      </c>
      <c r="F1057">
        <v>77</v>
      </c>
      <c r="G1057">
        <v>3</v>
      </c>
      <c r="H1057" s="1" t="s">
        <v>30</v>
      </c>
      <c r="I1057">
        <v>32</v>
      </c>
      <c r="J1057">
        <v>14</v>
      </c>
      <c r="K1057" s="1" t="s">
        <v>31</v>
      </c>
      <c r="L1057" s="1" t="s">
        <v>38</v>
      </c>
      <c r="M1057">
        <v>1</v>
      </c>
      <c r="N1057">
        <v>0</v>
      </c>
      <c r="O1057" s="1" t="s">
        <v>52</v>
      </c>
      <c r="P1057">
        <v>1</v>
      </c>
      <c r="Q1057">
        <v>1</v>
      </c>
      <c r="R1057">
        <v>2</v>
      </c>
      <c r="S1057">
        <v>8</v>
      </c>
      <c r="T1057">
        <v>1</v>
      </c>
      <c r="U1057">
        <v>1</v>
      </c>
      <c r="V1057">
        <v>2.66</v>
      </c>
    </row>
    <row r="1058" spans="1:22">
      <c r="A1058" s="1" t="s">
        <v>1104</v>
      </c>
      <c r="B1058" s="1" t="s">
        <v>45</v>
      </c>
      <c r="C1058" s="2">
        <v>46272</v>
      </c>
      <c r="D1058" s="3">
        <v>0.86458333333333337</v>
      </c>
      <c r="E1058">
        <v>174</v>
      </c>
      <c r="F1058">
        <v>162</v>
      </c>
      <c r="G1058">
        <v>7</v>
      </c>
      <c r="H1058" s="1" t="s">
        <v>46</v>
      </c>
      <c r="I1058">
        <v>18.5</v>
      </c>
      <c r="J1058">
        <v>22</v>
      </c>
      <c r="K1058" s="1" t="s">
        <v>47</v>
      </c>
      <c r="L1058" s="1" t="s">
        <v>65</v>
      </c>
      <c r="M1058">
        <v>0</v>
      </c>
      <c r="N1058">
        <v>0</v>
      </c>
      <c r="O1058" s="1" t="s">
        <v>27</v>
      </c>
      <c r="P1058">
        <v>1</v>
      </c>
      <c r="Q1058">
        <v>1</v>
      </c>
      <c r="R1058">
        <v>8</v>
      </c>
      <c r="S1058">
        <v>20</v>
      </c>
      <c r="T1058">
        <v>0</v>
      </c>
      <c r="U1058">
        <v>0</v>
      </c>
      <c r="V1058">
        <v>9.41</v>
      </c>
    </row>
    <row r="1059" spans="1:22">
      <c r="A1059" s="1" t="s">
        <v>1105</v>
      </c>
      <c r="B1059" s="1" t="s">
        <v>59</v>
      </c>
      <c r="C1059" s="2">
        <v>46268</v>
      </c>
      <c r="D1059" s="3">
        <v>0.6875</v>
      </c>
      <c r="E1059">
        <v>43</v>
      </c>
      <c r="F1059">
        <v>37</v>
      </c>
      <c r="G1059">
        <v>4</v>
      </c>
      <c r="H1059" s="1" t="s">
        <v>60</v>
      </c>
      <c r="I1059">
        <v>24.8</v>
      </c>
      <c r="J1059">
        <v>28</v>
      </c>
      <c r="K1059" s="1" t="s">
        <v>61</v>
      </c>
      <c r="L1059" s="1" t="s">
        <v>56</v>
      </c>
      <c r="M1059">
        <v>0</v>
      </c>
      <c r="N1059">
        <v>0</v>
      </c>
      <c r="O1059" s="1" t="s">
        <v>27</v>
      </c>
      <c r="P1059">
        <v>1</v>
      </c>
      <c r="Q1059">
        <v>1</v>
      </c>
      <c r="R1059">
        <v>11</v>
      </c>
      <c r="S1059">
        <v>16</v>
      </c>
      <c r="T1059">
        <v>0</v>
      </c>
      <c r="U1059">
        <v>0</v>
      </c>
      <c r="V1059">
        <v>1.73</v>
      </c>
    </row>
    <row r="1060" spans="1:22">
      <c r="A1060" s="1" t="s">
        <v>1106</v>
      </c>
      <c r="B1060" s="1" t="s">
        <v>45</v>
      </c>
      <c r="C1060" s="2">
        <v>46294</v>
      </c>
      <c r="D1060" s="3">
        <v>0.375</v>
      </c>
      <c r="E1060">
        <v>73</v>
      </c>
      <c r="F1060">
        <v>72</v>
      </c>
      <c r="G1060">
        <v>4</v>
      </c>
      <c r="H1060" s="1" t="s">
        <v>46</v>
      </c>
      <c r="I1060">
        <v>18.5</v>
      </c>
      <c r="J1060">
        <v>22</v>
      </c>
      <c r="K1060" s="1" t="s">
        <v>47</v>
      </c>
      <c r="L1060" s="1" t="s">
        <v>26</v>
      </c>
      <c r="M1060">
        <v>0</v>
      </c>
      <c r="N1060">
        <v>0</v>
      </c>
      <c r="O1060" s="1" t="s">
        <v>27</v>
      </c>
      <c r="P1060">
        <v>1</v>
      </c>
      <c r="Q1060">
        <v>1</v>
      </c>
      <c r="R1060">
        <v>11</v>
      </c>
      <c r="S1060">
        <v>9</v>
      </c>
      <c r="T1060">
        <v>1</v>
      </c>
      <c r="U1060">
        <v>0</v>
      </c>
      <c r="V1060">
        <v>3.95</v>
      </c>
    </row>
    <row r="1061" spans="1:22">
      <c r="A1061" s="1" t="s">
        <v>1107</v>
      </c>
      <c r="B1061" s="1" t="s">
        <v>45</v>
      </c>
      <c r="C1061" s="2">
        <v>46277</v>
      </c>
      <c r="D1061" s="3">
        <v>0.9375</v>
      </c>
      <c r="E1061">
        <v>129</v>
      </c>
      <c r="F1061">
        <v>130</v>
      </c>
      <c r="G1061">
        <v>5</v>
      </c>
      <c r="H1061" s="1" t="s">
        <v>46</v>
      </c>
      <c r="I1061">
        <v>18.5</v>
      </c>
      <c r="J1061">
        <v>22</v>
      </c>
      <c r="K1061" s="1" t="s">
        <v>47</v>
      </c>
      <c r="L1061" s="1" t="s">
        <v>32</v>
      </c>
      <c r="M1061">
        <v>1</v>
      </c>
      <c r="N1061">
        <v>0</v>
      </c>
      <c r="O1061" s="1" t="s">
        <v>40</v>
      </c>
      <c r="P1061">
        <v>1</v>
      </c>
      <c r="Q1061">
        <v>1</v>
      </c>
      <c r="R1061">
        <v>2</v>
      </c>
      <c r="S1061">
        <v>22</v>
      </c>
      <c r="T1061">
        <v>0</v>
      </c>
      <c r="U1061">
        <v>1</v>
      </c>
      <c r="V1061">
        <v>6.97</v>
      </c>
    </row>
    <row r="1062" spans="1:22">
      <c r="A1062" s="1" t="s">
        <v>1108</v>
      </c>
      <c r="B1062" s="1" t="s">
        <v>59</v>
      </c>
      <c r="C1062" s="2">
        <v>46286</v>
      </c>
      <c r="D1062" s="3">
        <v>0.42708333333333331</v>
      </c>
      <c r="E1062">
        <v>59</v>
      </c>
      <c r="F1062">
        <v>59</v>
      </c>
      <c r="G1062">
        <v>2</v>
      </c>
      <c r="H1062" s="1" t="s">
        <v>60</v>
      </c>
      <c r="I1062">
        <v>24.8</v>
      </c>
      <c r="J1062">
        <v>28</v>
      </c>
      <c r="K1062" s="1" t="s">
        <v>61</v>
      </c>
      <c r="L1062" s="1" t="s">
        <v>65</v>
      </c>
      <c r="M1062">
        <v>0</v>
      </c>
      <c r="N1062">
        <v>0</v>
      </c>
      <c r="O1062" s="1" t="s">
        <v>27</v>
      </c>
      <c r="P1062">
        <v>1</v>
      </c>
      <c r="Q1062">
        <v>1</v>
      </c>
      <c r="R1062">
        <v>4</v>
      </c>
      <c r="S1062">
        <v>10</v>
      </c>
      <c r="T1062">
        <v>1</v>
      </c>
      <c r="U1062">
        <v>0</v>
      </c>
      <c r="V1062">
        <v>2.38</v>
      </c>
    </row>
    <row r="1063" spans="1:22">
      <c r="A1063" s="1" t="s">
        <v>1109</v>
      </c>
      <c r="B1063" s="1" t="s">
        <v>45</v>
      </c>
      <c r="C1063" s="2">
        <v>46289</v>
      </c>
      <c r="D1063" s="3">
        <v>0.92708333333333337</v>
      </c>
      <c r="E1063">
        <v>92</v>
      </c>
      <c r="F1063">
        <v>92</v>
      </c>
      <c r="G1063">
        <v>4</v>
      </c>
      <c r="H1063" s="1" t="s">
        <v>46</v>
      </c>
      <c r="I1063">
        <v>18.5</v>
      </c>
      <c r="J1063">
        <v>22</v>
      </c>
      <c r="K1063" s="1" t="s">
        <v>47</v>
      </c>
      <c r="L1063" s="1" t="s">
        <v>56</v>
      </c>
      <c r="M1063">
        <v>0</v>
      </c>
      <c r="N1063">
        <v>0</v>
      </c>
      <c r="O1063" s="1" t="s">
        <v>27</v>
      </c>
      <c r="P1063">
        <v>1</v>
      </c>
      <c r="Q1063">
        <v>1</v>
      </c>
      <c r="R1063">
        <v>1</v>
      </c>
      <c r="S1063">
        <v>22</v>
      </c>
      <c r="T1063">
        <v>0</v>
      </c>
      <c r="U1063">
        <v>0</v>
      </c>
      <c r="V1063">
        <v>4.97</v>
      </c>
    </row>
    <row r="1064" spans="1:22">
      <c r="A1064" s="1" t="s">
        <v>1110</v>
      </c>
      <c r="B1064" s="1" t="s">
        <v>34</v>
      </c>
      <c r="C1064" s="2">
        <v>46293</v>
      </c>
      <c r="D1064" s="3">
        <v>0.44791666666666669</v>
      </c>
      <c r="E1064">
        <v>175</v>
      </c>
      <c r="F1064">
        <v>174</v>
      </c>
      <c r="G1064">
        <v>7</v>
      </c>
      <c r="H1064" s="1" t="s">
        <v>35</v>
      </c>
      <c r="I1064">
        <v>12.2</v>
      </c>
      <c r="J1064">
        <v>18</v>
      </c>
      <c r="K1064" s="1" t="s">
        <v>36</v>
      </c>
      <c r="L1064" s="1" t="s">
        <v>65</v>
      </c>
      <c r="M1064">
        <v>0</v>
      </c>
      <c r="N1064">
        <v>0</v>
      </c>
      <c r="O1064" s="1" t="s">
        <v>27</v>
      </c>
      <c r="P1064">
        <v>1</v>
      </c>
      <c r="Q1064">
        <v>1</v>
      </c>
      <c r="R1064">
        <v>6</v>
      </c>
      <c r="S1064">
        <v>10</v>
      </c>
      <c r="T1064">
        <v>1</v>
      </c>
      <c r="U1064">
        <v>0</v>
      </c>
      <c r="V1064">
        <v>14.34</v>
      </c>
    </row>
    <row r="1065" spans="1:22">
      <c r="A1065" s="1" t="s">
        <v>1111</v>
      </c>
      <c r="B1065" s="1" t="s">
        <v>29</v>
      </c>
      <c r="C1065" s="2">
        <v>46291</v>
      </c>
      <c r="D1065" s="3">
        <v>0.6875</v>
      </c>
      <c r="E1065">
        <v>98</v>
      </c>
      <c r="F1065">
        <v>96</v>
      </c>
      <c r="G1065">
        <v>2</v>
      </c>
      <c r="H1065" s="1" t="s">
        <v>30</v>
      </c>
      <c r="I1065">
        <v>32</v>
      </c>
      <c r="J1065">
        <v>14</v>
      </c>
      <c r="K1065" s="1" t="s">
        <v>31</v>
      </c>
      <c r="L1065" s="1" t="s">
        <v>32</v>
      </c>
      <c r="M1065">
        <v>1</v>
      </c>
      <c r="N1065">
        <v>0</v>
      </c>
      <c r="O1065" s="1" t="s">
        <v>27</v>
      </c>
      <c r="P1065">
        <v>1</v>
      </c>
      <c r="Q1065">
        <v>1</v>
      </c>
      <c r="R1065">
        <v>25</v>
      </c>
      <c r="S1065">
        <v>16</v>
      </c>
      <c r="T1065">
        <v>0</v>
      </c>
      <c r="U1065">
        <v>0</v>
      </c>
      <c r="V1065">
        <v>3.06</v>
      </c>
    </row>
    <row r="1066" spans="1:22">
      <c r="A1066" s="1" t="s">
        <v>1112</v>
      </c>
      <c r="B1066" s="1" t="s">
        <v>45</v>
      </c>
      <c r="C1066" s="2">
        <v>46268</v>
      </c>
      <c r="D1066" s="3">
        <v>0.25</v>
      </c>
      <c r="E1066">
        <v>59</v>
      </c>
      <c r="F1066">
        <v>54</v>
      </c>
      <c r="G1066">
        <v>4</v>
      </c>
      <c r="H1066" s="1" t="s">
        <v>46</v>
      </c>
      <c r="I1066">
        <v>18.5</v>
      </c>
      <c r="J1066">
        <v>22</v>
      </c>
      <c r="K1066" s="1" t="s">
        <v>47</v>
      </c>
      <c r="L1066" s="1" t="s">
        <v>56</v>
      </c>
      <c r="M1066">
        <v>0</v>
      </c>
      <c r="N1066">
        <v>0</v>
      </c>
      <c r="O1066" s="1" t="s">
        <v>27</v>
      </c>
      <c r="P1066">
        <v>1</v>
      </c>
      <c r="Q1066">
        <v>1</v>
      </c>
      <c r="R1066">
        <v>4</v>
      </c>
      <c r="S1066">
        <v>6</v>
      </c>
      <c r="T1066">
        <v>0</v>
      </c>
      <c r="U1066">
        <v>0</v>
      </c>
      <c r="V1066">
        <v>3.19</v>
      </c>
    </row>
    <row r="1067" spans="1:22">
      <c r="A1067" s="1" t="s">
        <v>1113</v>
      </c>
      <c r="B1067" s="1" t="s">
        <v>45</v>
      </c>
      <c r="C1067" s="2">
        <v>46285</v>
      </c>
      <c r="D1067" s="3">
        <v>0.64583333333333337</v>
      </c>
      <c r="E1067">
        <v>196</v>
      </c>
      <c r="F1067">
        <v>189</v>
      </c>
      <c r="G1067">
        <v>7</v>
      </c>
      <c r="H1067" s="1" t="s">
        <v>46</v>
      </c>
      <c r="I1067">
        <v>18.5</v>
      </c>
      <c r="J1067">
        <v>22</v>
      </c>
      <c r="K1067" s="1" t="s">
        <v>47</v>
      </c>
      <c r="L1067" s="1" t="s">
        <v>38</v>
      </c>
      <c r="M1067">
        <v>1</v>
      </c>
      <c r="N1067">
        <v>0</v>
      </c>
      <c r="O1067" s="1" t="s">
        <v>52</v>
      </c>
      <c r="P1067">
        <v>1</v>
      </c>
      <c r="Q1067">
        <v>1</v>
      </c>
      <c r="R1067">
        <v>3</v>
      </c>
      <c r="S1067">
        <v>15</v>
      </c>
      <c r="T1067">
        <v>0</v>
      </c>
      <c r="U1067">
        <v>1</v>
      </c>
      <c r="V1067">
        <v>10.59</v>
      </c>
    </row>
    <row r="1068" spans="1:22">
      <c r="A1068" s="1" t="s">
        <v>1114</v>
      </c>
      <c r="B1068" s="1" t="s">
        <v>45</v>
      </c>
      <c r="C1068" s="2">
        <v>46279</v>
      </c>
      <c r="D1068" s="3">
        <v>0.84375</v>
      </c>
      <c r="E1068">
        <v>182</v>
      </c>
      <c r="F1068">
        <v>171</v>
      </c>
      <c r="G1068">
        <v>6</v>
      </c>
      <c r="H1068" s="1" t="s">
        <v>46</v>
      </c>
      <c r="I1068">
        <v>18.5</v>
      </c>
      <c r="J1068">
        <v>22</v>
      </c>
      <c r="K1068" s="1" t="s">
        <v>47</v>
      </c>
      <c r="L1068" s="1" t="s">
        <v>65</v>
      </c>
      <c r="M1068">
        <v>0</v>
      </c>
      <c r="N1068">
        <v>0</v>
      </c>
      <c r="O1068" s="1" t="s">
        <v>27</v>
      </c>
      <c r="P1068">
        <v>1</v>
      </c>
      <c r="Q1068">
        <v>1</v>
      </c>
      <c r="R1068">
        <v>1</v>
      </c>
      <c r="S1068">
        <v>20</v>
      </c>
      <c r="T1068">
        <v>0</v>
      </c>
      <c r="U1068">
        <v>0</v>
      </c>
      <c r="V1068">
        <v>9.84</v>
      </c>
    </row>
    <row r="1069" spans="1:22">
      <c r="A1069" s="1" t="s">
        <v>1115</v>
      </c>
      <c r="B1069" s="1" t="s">
        <v>23</v>
      </c>
      <c r="C1069" s="2">
        <v>46280</v>
      </c>
      <c r="D1069" s="3">
        <v>0.27083333333333331</v>
      </c>
      <c r="E1069">
        <v>75</v>
      </c>
      <c r="F1069">
        <v>78</v>
      </c>
      <c r="G1069">
        <v>3</v>
      </c>
      <c r="H1069" s="1" t="s">
        <v>24</v>
      </c>
      <c r="I1069">
        <v>15</v>
      </c>
      <c r="J1069">
        <v>16</v>
      </c>
      <c r="K1069" s="1" t="s">
        <v>25</v>
      </c>
      <c r="L1069" s="1" t="s">
        <v>26</v>
      </c>
      <c r="M1069">
        <v>0</v>
      </c>
      <c r="N1069">
        <v>0</v>
      </c>
      <c r="O1069" s="1" t="s">
        <v>27</v>
      </c>
      <c r="P1069">
        <v>1</v>
      </c>
      <c r="Q1069">
        <v>1</v>
      </c>
      <c r="R1069">
        <v>14</v>
      </c>
      <c r="S1069">
        <v>6</v>
      </c>
      <c r="T1069">
        <v>0</v>
      </c>
      <c r="U1069">
        <v>0</v>
      </c>
      <c r="V1069">
        <v>5</v>
      </c>
    </row>
    <row r="1070" spans="1:22">
      <c r="A1070" s="1" t="s">
        <v>1116</v>
      </c>
      <c r="B1070" s="1" t="s">
        <v>45</v>
      </c>
      <c r="C1070" s="2">
        <v>46290</v>
      </c>
      <c r="D1070" s="3">
        <v>0.5</v>
      </c>
      <c r="E1070">
        <v>65</v>
      </c>
      <c r="F1070">
        <v>69</v>
      </c>
      <c r="G1070">
        <v>3</v>
      </c>
      <c r="H1070" s="1" t="s">
        <v>46</v>
      </c>
      <c r="I1070">
        <v>18.5</v>
      </c>
      <c r="J1070">
        <v>22</v>
      </c>
      <c r="K1070" s="1" t="s">
        <v>47</v>
      </c>
      <c r="L1070" s="1" t="s">
        <v>49</v>
      </c>
      <c r="M1070">
        <v>0</v>
      </c>
      <c r="N1070">
        <v>0</v>
      </c>
      <c r="O1070" s="1" t="s">
        <v>27</v>
      </c>
      <c r="P1070">
        <v>1</v>
      </c>
      <c r="Q1070">
        <v>1</v>
      </c>
      <c r="R1070">
        <v>1</v>
      </c>
      <c r="S1070">
        <v>12</v>
      </c>
      <c r="T1070">
        <v>0</v>
      </c>
      <c r="U1070">
        <v>0</v>
      </c>
      <c r="V1070">
        <v>3.51</v>
      </c>
    </row>
    <row r="1071" spans="1:22">
      <c r="A1071" s="1" t="s">
        <v>1117</v>
      </c>
      <c r="B1071" s="1" t="s">
        <v>59</v>
      </c>
      <c r="C1071" s="2">
        <v>46295</v>
      </c>
      <c r="D1071" s="3">
        <v>0.61458333333333337</v>
      </c>
      <c r="E1071">
        <v>192</v>
      </c>
      <c r="F1071">
        <v>192</v>
      </c>
      <c r="G1071">
        <v>7</v>
      </c>
      <c r="H1071" s="1" t="s">
        <v>60</v>
      </c>
      <c r="I1071">
        <v>24.8</v>
      </c>
      <c r="J1071">
        <v>28</v>
      </c>
      <c r="K1071" s="1" t="s">
        <v>61</v>
      </c>
      <c r="L1071" s="1" t="s">
        <v>69</v>
      </c>
      <c r="M1071">
        <v>0</v>
      </c>
      <c r="N1071">
        <v>0</v>
      </c>
      <c r="O1071" s="1" t="s">
        <v>27</v>
      </c>
      <c r="P1071">
        <v>1</v>
      </c>
      <c r="Q1071">
        <v>1</v>
      </c>
      <c r="R1071">
        <v>0</v>
      </c>
      <c r="S1071">
        <v>14</v>
      </c>
      <c r="T1071">
        <v>0</v>
      </c>
      <c r="U1071">
        <v>0</v>
      </c>
      <c r="V1071">
        <v>7.74</v>
      </c>
    </row>
    <row r="1072" spans="1:22">
      <c r="A1072" s="1" t="s">
        <v>1118</v>
      </c>
      <c r="B1072" s="1" t="s">
        <v>23</v>
      </c>
      <c r="C1072" s="2">
        <v>46279</v>
      </c>
      <c r="D1072" s="3">
        <v>0.35416666666666669</v>
      </c>
      <c r="E1072">
        <v>125</v>
      </c>
      <c r="F1072">
        <v>127</v>
      </c>
      <c r="G1072">
        <v>5</v>
      </c>
      <c r="H1072" s="1" t="s">
        <v>24</v>
      </c>
      <c r="I1072">
        <v>15</v>
      </c>
      <c r="J1072">
        <v>16</v>
      </c>
      <c r="K1072" s="1" t="s">
        <v>25</v>
      </c>
      <c r="L1072" s="1" t="s">
        <v>65</v>
      </c>
      <c r="M1072">
        <v>0</v>
      </c>
      <c r="N1072">
        <v>0</v>
      </c>
      <c r="O1072" s="1" t="s">
        <v>27</v>
      </c>
      <c r="P1072">
        <v>1</v>
      </c>
      <c r="Q1072">
        <v>1</v>
      </c>
      <c r="R1072">
        <v>4</v>
      </c>
      <c r="S1072">
        <v>8</v>
      </c>
      <c r="T1072">
        <v>1</v>
      </c>
      <c r="U1072">
        <v>0</v>
      </c>
      <c r="V1072">
        <v>8.33</v>
      </c>
    </row>
    <row r="1073" spans="1:22">
      <c r="A1073" s="1" t="s">
        <v>1119</v>
      </c>
      <c r="B1073" s="1" t="s">
        <v>59</v>
      </c>
      <c r="C1073" s="2">
        <v>46272</v>
      </c>
      <c r="D1073" s="3">
        <v>0.22916666666666666</v>
      </c>
      <c r="E1073">
        <v>70</v>
      </c>
      <c r="F1073">
        <v>65</v>
      </c>
      <c r="G1073">
        <v>3</v>
      </c>
      <c r="H1073" s="1" t="s">
        <v>60</v>
      </c>
      <c r="I1073">
        <v>24.8</v>
      </c>
      <c r="J1073">
        <v>28</v>
      </c>
      <c r="K1073" s="1" t="s">
        <v>61</v>
      </c>
      <c r="L1073" s="1" t="s">
        <v>65</v>
      </c>
      <c r="M1073">
        <v>0</v>
      </c>
      <c r="N1073">
        <v>0</v>
      </c>
      <c r="O1073" s="1" t="s">
        <v>27</v>
      </c>
      <c r="P1073">
        <v>1</v>
      </c>
      <c r="Q1073">
        <v>1</v>
      </c>
      <c r="R1073">
        <v>6</v>
      </c>
      <c r="S1073">
        <v>5</v>
      </c>
      <c r="T1073">
        <v>0</v>
      </c>
      <c r="U1073">
        <v>0</v>
      </c>
      <c r="V1073">
        <v>2.82</v>
      </c>
    </row>
    <row r="1074" spans="1:22">
      <c r="A1074" s="1" t="s">
        <v>1120</v>
      </c>
      <c r="B1074" s="1" t="s">
        <v>29</v>
      </c>
      <c r="C1074" s="2">
        <v>46282</v>
      </c>
      <c r="D1074" s="3">
        <v>0.45833333333333331</v>
      </c>
      <c r="E1074">
        <v>70</v>
      </c>
      <c r="F1074">
        <v>72</v>
      </c>
      <c r="G1074">
        <v>4</v>
      </c>
      <c r="H1074" s="1" t="s">
        <v>30</v>
      </c>
      <c r="I1074">
        <v>32</v>
      </c>
      <c r="J1074">
        <v>14</v>
      </c>
      <c r="K1074" s="1" t="s">
        <v>31</v>
      </c>
      <c r="L1074" s="1" t="s">
        <v>56</v>
      </c>
      <c r="M1074">
        <v>0</v>
      </c>
      <c r="N1074">
        <v>0</v>
      </c>
      <c r="O1074" s="1" t="s">
        <v>27</v>
      </c>
      <c r="P1074">
        <v>1</v>
      </c>
      <c r="Q1074">
        <v>1</v>
      </c>
      <c r="R1074">
        <v>3</v>
      </c>
      <c r="S1074">
        <v>11</v>
      </c>
      <c r="T1074">
        <v>0</v>
      </c>
      <c r="U1074">
        <v>0</v>
      </c>
      <c r="V1074">
        <v>2.19</v>
      </c>
    </row>
    <row r="1075" spans="1:22">
      <c r="A1075" s="1" t="s">
        <v>1121</v>
      </c>
      <c r="B1075" s="1" t="s">
        <v>23</v>
      </c>
      <c r="C1075" s="2">
        <v>46295</v>
      </c>
      <c r="D1075" s="3">
        <v>0.92708333333333337</v>
      </c>
      <c r="E1075">
        <v>138</v>
      </c>
      <c r="F1075">
        <v>140</v>
      </c>
      <c r="G1075">
        <v>7</v>
      </c>
      <c r="H1075" s="1" t="s">
        <v>24</v>
      </c>
      <c r="I1075">
        <v>15</v>
      </c>
      <c r="J1075">
        <v>16</v>
      </c>
      <c r="K1075" s="1" t="s">
        <v>25</v>
      </c>
      <c r="L1075" s="1" t="s">
        <v>69</v>
      </c>
      <c r="M1075">
        <v>0</v>
      </c>
      <c r="N1075">
        <v>0</v>
      </c>
      <c r="O1075" s="1" t="s">
        <v>27</v>
      </c>
      <c r="P1075">
        <v>1</v>
      </c>
      <c r="Q1075">
        <v>1</v>
      </c>
      <c r="R1075">
        <v>6</v>
      </c>
      <c r="S1075">
        <v>22</v>
      </c>
      <c r="T1075">
        <v>0</v>
      </c>
      <c r="U1075">
        <v>0</v>
      </c>
      <c r="V1075">
        <v>9.1999999999999993</v>
      </c>
    </row>
    <row r="1076" spans="1:22">
      <c r="A1076" s="1" t="s">
        <v>1122</v>
      </c>
      <c r="B1076" s="1" t="s">
        <v>34</v>
      </c>
      <c r="C1076" s="2">
        <v>46277</v>
      </c>
      <c r="D1076" s="3">
        <v>0.66666666666666663</v>
      </c>
      <c r="E1076">
        <v>187</v>
      </c>
      <c r="F1076">
        <v>181</v>
      </c>
      <c r="G1076">
        <v>5</v>
      </c>
      <c r="H1076" s="1" t="s">
        <v>35</v>
      </c>
      <c r="I1076">
        <v>12.2</v>
      </c>
      <c r="J1076">
        <v>18</v>
      </c>
      <c r="K1076" s="1" t="s">
        <v>36</v>
      </c>
      <c r="L1076" s="1" t="s">
        <v>32</v>
      </c>
      <c r="M1076">
        <v>1</v>
      </c>
      <c r="N1076">
        <v>0</v>
      </c>
      <c r="O1076" s="1" t="s">
        <v>40</v>
      </c>
      <c r="P1076">
        <v>1</v>
      </c>
      <c r="Q1076">
        <v>1</v>
      </c>
      <c r="R1076">
        <v>0</v>
      </c>
      <c r="S1076">
        <v>16</v>
      </c>
      <c r="T1076">
        <v>0</v>
      </c>
      <c r="U1076">
        <v>1</v>
      </c>
      <c r="V1076">
        <v>15.33</v>
      </c>
    </row>
    <row r="1077" spans="1:22">
      <c r="A1077" s="1" t="s">
        <v>1123</v>
      </c>
      <c r="B1077" s="1" t="s">
        <v>45</v>
      </c>
      <c r="C1077" s="2">
        <v>46285</v>
      </c>
      <c r="D1077" s="3">
        <v>0.38541666666666669</v>
      </c>
      <c r="E1077">
        <v>137</v>
      </c>
      <c r="F1077">
        <v>138</v>
      </c>
      <c r="G1077">
        <v>7</v>
      </c>
      <c r="H1077" s="1" t="s">
        <v>46</v>
      </c>
      <c r="I1077">
        <v>18.5</v>
      </c>
      <c r="J1077">
        <v>22</v>
      </c>
      <c r="K1077" s="1" t="s">
        <v>47</v>
      </c>
      <c r="L1077" s="1" t="s">
        <v>38</v>
      </c>
      <c r="M1077">
        <v>1</v>
      </c>
      <c r="N1077">
        <v>0</v>
      </c>
      <c r="O1077" s="1" t="s">
        <v>52</v>
      </c>
      <c r="P1077">
        <v>1</v>
      </c>
      <c r="Q1077">
        <v>1</v>
      </c>
      <c r="R1077">
        <v>2</v>
      </c>
      <c r="S1077">
        <v>9</v>
      </c>
      <c r="T1077">
        <v>1</v>
      </c>
      <c r="U1077">
        <v>1</v>
      </c>
      <c r="V1077">
        <v>7.41</v>
      </c>
    </row>
    <row r="1078" spans="1:22">
      <c r="A1078" s="1" t="s">
        <v>1124</v>
      </c>
      <c r="B1078" s="1" t="s">
        <v>45</v>
      </c>
      <c r="C1078" s="2">
        <v>46269</v>
      </c>
      <c r="D1078" s="3">
        <v>0.33333333333333331</v>
      </c>
      <c r="E1078">
        <v>25</v>
      </c>
      <c r="F1078">
        <v>16</v>
      </c>
      <c r="G1078">
        <v>3</v>
      </c>
      <c r="H1078" s="1" t="s">
        <v>46</v>
      </c>
      <c r="I1078">
        <v>18.5</v>
      </c>
      <c r="J1078">
        <v>22</v>
      </c>
      <c r="K1078" s="1" t="s">
        <v>47</v>
      </c>
      <c r="L1078" s="1" t="s">
        <v>49</v>
      </c>
      <c r="M1078">
        <v>0</v>
      </c>
      <c r="N1078">
        <v>0</v>
      </c>
      <c r="O1078" s="1" t="s">
        <v>27</v>
      </c>
      <c r="P1078">
        <v>1</v>
      </c>
      <c r="Q1078">
        <v>1</v>
      </c>
      <c r="R1078">
        <v>17</v>
      </c>
      <c r="S1078">
        <v>8</v>
      </c>
      <c r="T1078">
        <v>1</v>
      </c>
      <c r="U1078">
        <v>0</v>
      </c>
      <c r="V1078">
        <v>1.35</v>
      </c>
    </row>
    <row r="1079" spans="1:22">
      <c r="A1079" s="1" t="s">
        <v>1125</v>
      </c>
      <c r="B1079" s="1" t="s">
        <v>29</v>
      </c>
      <c r="C1079" s="2">
        <v>46274</v>
      </c>
      <c r="D1079" s="3">
        <v>0.60416666666666663</v>
      </c>
      <c r="E1079">
        <v>33</v>
      </c>
      <c r="F1079">
        <v>28</v>
      </c>
      <c r="G1079">
        <v>3</v>
      </c>
      <c r="H1079" s="1" t="s">
        <v>30</v>
      </c>
      <c r="I1079">
        <v>32</v>
      </c>
      <c r="J1079">
        <v>14</v>
      </c>
      <c r="K1079" s="1" t="s">
        <v>31</v>
      </c>
      <c r="L1079" s="1" t="s">
        <v>69</v>
      </c>
      <c r="M1079">
        <v>0</v>
      </c>
      <c r="N1079">
        <v>0</v>
      </c>
      <c r="O1079" s="1" t="s">
        <v>27</v>
      </c>
      <c r="P1079">
        <v>1</v>
      </c>
      <c r="Q1079">
        <v>1</v>
      </c>
      <c r="R1079">
        <v>19</v>
      </c>
      <c r="S1079">
        <v>14</v>
      </c>
      <c r="T1079">
        <v>0</v>
      </c>
      <c r="U1079">
        <v>0</v>
      </c>
      <c r="V1079">
        <v>1.03</v>
      </c>
    </row>
    <row r="1080" spans="1:22">
      <c r="A1080" s="1" t="s">
        <v>1126</v>
      </c>
      <c r="B1080" s="1" t="s">
        <v>45</v>
      </c>
      <c r="C1080" s="2">
        <v>46271</v>
      </c>
      <c r="D1080" s="3">
        <v>0.625</v>
      </c>
      <c r="E1080">
        <v>99</v>
      </c>
      <c r="F1080">
        <v>98</v>
      </c>
      <c r="G1080">
        <v>5</v>
      </c>
      <c r="H1080" s="1" t="s">
        <v>46</v>
      </c>
      <c r="I1080">
        <v>18.5</v>
      </c>
      <c r="J1080">
        <v>22</v>
      </c>
      <c r="K1080" s="1" t="s">
        <v>47</v>
      </c>
      <c r="L1080" s="1" t="s">
        <v>38</v>
      </c>
      <c r="M1080">
        <v>1</v>
      </c>
      <c r="N1080">
        <v>0</v>
      </c>
      <c r="O1080" s="1" t="s">
        <v>27</v>
      </c>
      <c r="P1080">
        <v>1</v>
      </c>
      <c r="Q1080">
        <v>1</v>
      </c>
      <c r="R1080">
        <v>10</v>
      </c>
      <c r="S1080">
        <v>15</v>
      </c>
      <c r="T1080">
        <v>0</v>
      </c>
      <c r="U1080">
        <v>0</v>
      </c>
      <c r="V1080">
        <v>5.35</v>
      </c>
    </row>
    <row r="1081" spans="1:22">
      <c r="A1081" s="1" t="s">
        <v>1127</v>
      </c>
      <c r="B1081" s="1" t="s">
        <v>45</v>
      </c>
      <c r="C1081" s="2">
        <v>46281</v>
      </c>
      <c r="D1081" s="3">
        <v>0.61458333333333337</v>
      </c>
      <c r="E1081">
        <v>49</v>
      </c>
      <c r="F1081">
        <v>32</v>
      </c>
      <c r="G1081">
        <v>5</v>
      </c>
      <c r="H1081" s="1" t="s">
        <v>46</v>
      </c>
      <c r="I1081">
        <v>18.5</v>
      </c>
      <c r="J1081">
        <v>22</v>
      </c>
      <c r="K1081" s="1" t="s">
        <v>47</v>
      </c>
      <c r="L1081" s="1" t="s">
        <v>69</v>
      </c>
      <c r="M1081">
        <v>0</v>
      </c>
      <c r="N1081">
        <v>0</v>
      </c>
      <c r="O1081" s="1" t="s">
        <v>27</v>
      </c>
      <c r="P1081">
        <v>1</v>
      </c>
      <c r="Q1081">
        <v>1</v>
      </c>
      <c r="R1081">
        <v>23</v>
      </c>
      <c r="S1081">
        <v>14</v>
      </c>
      <c r="T1081">
        <v>0</v>
      </c>
      <c r="U1081">
        <v>0</v>
      </c>
      <c r="V1081">
        <v>2.65</v>
      </c>
    </row>
    <row r="1082" spans="1:22">
      <c r="A1082" s="1" t="s">
        <v>1128</v>
      </c>
      <c r="B1082" s="1" t="s">
        <v>29</v>
      </c>
      <c r="C1082" s="2">
        <v>46290</v>
      </c>
      <c r="D1082" s="3">
        <v>0.51041666666666663</v>
      </c>
      <c r="E1082">
        <v>59</v>
      </c>
      <c r="F1082">
        <v>55</v>
      </c>
      <c r="G1082">
        <v>3</v>
      </c>
      <c r="H1082" s="1" t="s">
        <v>30</v>
      </c>
      <c r="I1082">
        <v>32</v>
      </c>
      <c r="J1082">
        <v>14</v>
      </c>
      <c r="K1082" s="1" t="s">
        <v>31</v>
      </c>
      <c r="L1082" s="1" t="s">
        <v>49</v>
      </c>
      <c r="M1082">
        <v>0</v>
      </c>
      <c r="N1082">
        <v>0</v>
      </c>
      <c r="O1082" s="1" t="s">
        <v>27</v>
      </c>
      <c r="P1082">
        <v>1</v>
      </c>
      <c r="Q1082">
        <v>1</v>
      </c>
      <c r="R1082">
        <v>21</v>
      </c>
      <c r="S1082">
        <v>12</v>
      </c>
      <c r="T1082">
        <v>0</v>
      </c>
      <c r="U1082">
        <v>0</v>
      </c>
      <c r="V1082">
        <v>1.84</v>
      </c>
    </row>
    <row r="1083" spans="1:22">
      <c r="A1083" s="1" t="s">
        <v>1129</v>
      </c>
      <c r="B1083" s="1" t="s">
        <v>34</v>
      </c>
      <c r="C1083" s="2">
        <v>46293</v>
      </c>
      <c r="D1083" s="3">
        <v>0.53125</v>
      </c>
      <c r="E1083">
        <v>185</v>
      </c>
      <c r="F1083">
        <v>184</v>
      </c>
      <c r="G1083">
        <v>6</v>
      </c>
      <c r="H1083" s="1" t="s">
        <v>35</v>
      </c>
      <c r="I1083">
        <v>12.2</v>
      </c>
      <c r="J1083">
        <v>18</v>
      </c>
      <c r="K1083" s="1" t="s">
        <v>36</v>
      </c>
      <c r="L1083" s="1" t="s">
        <v>65</v>
      </c>
      <c r="M1083">
        <v>0</v>
      </c>
      <c r="N1083">
        <v>0</v>
      </c>
      <c r="O1083" s="1" t="s">
        <v>27</v>
      </c>
      <c r="P1083">
        <v>1</v>
      </c>
      <c r="Q1083">
        <v>1</v>
      </c>
      <c r="R1083">
        <v>0</v>
      </c>
      <c r="S1083">
        <v>12</v>
      </c>
      <c r="T1083">
        <v>0</v>
      </c>
      <c r="U1083">
        <v>0</v>
      </c>
      <c r="V1083">
        <v>15.16</v>
      </c>
    </row>
    <row r="1084" spans="1:22">
      <c r="A1084" s="1" t="s">
        <v>1130</v>
      </c>
      <c r="B1084" s="1" t="s">
        <v>29</v>
      </c>
      <c r="C1084" s="2">
        <v>46287</v>
      </c>
      <c r="D1084" s="3">
        <v>0.39583333333333331</v>
      </c>
      <c r="E1084">
        <v>87</v>
      </c>
      <c r="F1084">
        <v>92</v>
      </c>
      <c r="G1084">
        <v>3</v>
      </c>
      <c r="H1084" s="1" t="s">
        <v>30</v>
      </c>
      <c r="I1084">
        <v>32</v>
      </c>
      <c r="J1084">
        <v>14</v>
      </c>
      <c r="K1084" s="1" t="s">
        <v>31</v>
      </c>
      <c r="L1084" s="1" t="s">
        <v>26</v>
      </c>
      <c r="M1084">
        <v>0</v>
      </c>
      <c r="N1084">
        <v>0</v>
      </c>
      <c r="O1084" s="1" t="s">
        <v>27</v>
      </c>
      <c r="P1084">
        <v>1</v>
      </c>
      <c r="Q1084">
        <v>1</v>
      </c>
      <c r="R1084">
        <v>1</v>
      </c>
      <c r="S1084">
        <v>9</v>
      </c>
      <c r="T1084">
        <v>1</v>
      </c>
      <c r="U1084">
        <v>0</v>
      </c>
      <c r="V1084">
        <v>2.72</v>
      </c>
    </row>
    <row r="1085" spans="1:22">
      <c r="A1085" s="1" t="s">
        <v>1131</v>
      </c>
      <c r="B1085" s="1" t="s">
        <v>23</v>
      </c>
      <c r="C1085" s="2">
        <v>46287</v>
      </c>
      <c r="D1085" s="3">
        <v>0.32291666666666669</v>
      </c>
      <c r="E1085">
        <v>63</v>
      </c>
      <c r="F1085">
        <v>57</v>
      </c>
      <c r="G1085">
        <v>4</v>
      </c>
      <c r="H1085" s="1" t="s">
        <v>24</v>
      </c>
      <c r="I1085">
        <v>15</v>
      </c>
      <c r="J1085">
        <v>16</v>
      </c>
      <c r="K1085" s="1" t="s">
        <v>25</v>
      </c>
      <c r="L1085" s="1" t="s">
        <v>26</v>
      </c>
      <c r="M1085">
        <v>0</v>
      </c>
      <c r="N1085">
        <v>0</v>
      </c>
      <c r="O1085" s="1" t="s">
        <v>27</v>
      </c>
      <c r="P1085">
        <v>1</v>
      </c>
      <c r="Q1085">
        <v>1</v>
      </c>
      <c r="R1085">
        <v>23</v>
      </c>
      <c r="S1085">
        <v>7</v>
      </c>
      <c r="T1085">
        <v>0</v>
      </c>
      <c r="U1085">
        <v>0</v>
      </c>
      <c r="V1085">
        <v>4.2</v>
      </c>
    </row>
    <row r="1086" spans="1:22">
      <c r="A1086" s="1" t="s">
        <v>1132</v>
      </c>
      <c r="B1086" s="1" t="s">
        <v>23</v>
      </c>
      <c r="C1086" s="2">
        <v>46286</v>
      </c>
      <c r="D1086" s="3">
        <v>0.70833333333333337</v>
      </c>
      <c r="E1086">
        <v>112</v>
      </c>
      <c r="F1086">
        <v>104</v>
      </c>
      <c r="G1086">
        <v>5</v>
      </c>
      <c r="H1086" s="1" t="s">
        <v>24</v>
      </c>
      <c r="I1086">
        <v>15</v>
      </c>
      <c r="J1086">
        <v>16</v>
      </c>
      <c r="K1086" s="1" t="s">
        <v>25</v>
      </c>
      <c r="L1086" s="1" t="s">
        <v>65</v>
      </c>
      <c r="M1086">
        <v>0</v>
      </c>
      <c r="N1086">
        <v>0</v>
      </c>
      <c r="O1086" s="1" t="s">
        <v>27</v>
      </c>
      <c r="P1086">
        <v>1</v>
      </c>
      <c r="Q1086">
        <v>1</v>
      </c>
      <c r="R1086">
        <v>4</v>
      </c>
      <c r="S1086">
        <v>17</v>
      </c>
      <c r="T1086">
        <v>1</v>
      </c>
      <c r="U1086">
        <v>0</v>
      </c>
      <c r="V1086">
        <v>7.47</v>
      </c>
    </row>
    <row r="1087" spans="1:22">
      <c r="A1087" s="1" t="s">
        <v>1133</v>
      </c>
      <c r="B1087" s="1" t="s">
        <v>23</v>
      </c>
      <c r="C1087" s="2">
        <v>46286</v>
      </c>
      <c r="D1087" s="3">
        <v>0.61458333333333337</v>
      </c>
      <c r="E1087">
        <v>86</v>
      </c>
      <c r="F1087">
        <v>87</v>
      </c>
      <c r="G1087">
        <v>4</v>
      </c>
      <c r="H1087" s="1" t="s">
        <v>24</v>
      </c>
      <c r="I1087">
        <v>15</v>
      </c>
      <c r="J1087">
        <v>16</v>
      </c>
      <c r="K1087" s="1" t="s">
        <v>25</v>
      </c>
      <c r="L1087" s="1" t="s">
        <v>65</v>
      </c>
      <c r="M1087">
        <v>0</v>
      </c>
      <c r="N1087">
        <v>0</v>
      </c>
      <c r="O1087" s="1" t="s">
        <v>27</v>
      </c>
      <c r="P1087">
        <v>1</v>
      </c>
      <c r="Q1087">
        <v>1</v>
      </c>
      <c r="R1087">
        <v>7</v>
      </c>
      <c r="S1087">
        <v>14</v>
      </c>
      <c r="T1087">
        <v>0</v>
      </c>
      <c r="U1087">
        <v>0</v>
      </c>
      <c r="V1087">
        <v>5.73</v>
      </c>
    </row>
    <row r="1088" spans="1:22">
      <c r="A1088" s="1" t="s">
        <v>1134</v>
      </c>
      <c r="B1088" s="1" t="s">
        <v>59</v>
      </c>
      <c r="C1088" s="2">
        <v>46267</v>
      </c>
      <c r="D1088" s="3">
        <v>0.55208333333333337</v>
      </c>
      <c r="E1088">
        <v>96</v>
      </c>
      <c r="F1088">
        <v>95</v>
      </c>
      <c r="G1088">
        <v>5</v>
      </c>
      <c r="H1088" s="1" t="s">
        <v>60</v>
      </c>
      <c r="I1088">
        <v>24.8</v>
      </c>
      <c r="J1088">
        <v>28</v>
      </c>
      <c r="K1088" s="1" t="s">
        <v>61</v>
      </c>
      <c r="L1088" s="1" t="s">
        <v>69</v>
      </c>
      <c r="M1088">
        <v>0</v>
      </c>
      <c r="N1088">
        <v>0</v>
      </c>
      <c r="O1088" s="1" t="s">
        <v>27</v>
      </c>
      <c r="P1088">
        <v>1</v>
      </c>
      <c r="Q1088">
        <v>1</v>
      </c>
      <c r="R1088">
        <v>1</v>
      </c>
      <c r="S1088">
        <v>13</v>
      </c>
      <c r="T1088">
        <v>0</v>
      </c>
      <c r="U1088">
        <v>0</v>
      </c>
      <c r="V1088">
        <v>3.87</v>
      </c>
    </row>
    <row r="1089" spans="1:22">
      <c r="A1089" s="1" t="s">
        <v>1135</v>
      </c>
      <c r="B1089" s="1" t="s">
        <v>59</v>
      </c>
      <c r="C1089" s="2">
        <v>46289</v>
      </c>
      <c r="D1089" s="3">
        <v>0.27083333333333331</v>
      </c>
      <c r="E1089">
        <v>121</v>
      </c>
      <c r="F1089">
        <v>120</v>
      </c>
      <c r="G1089">
        <v>3</v>
      </c>
      <c r="H1089" s="1" t="s">
        <v>60</v>
      </c>
      <c r="I1089">
        <v>24.8</v>
      </c>
      <c r="J1089">
        <v>28</v>
      </c>
      <c r="K1089" s="1" t="s">
        <v>61</v>
      </c>
      <c r="L1089" s="1" t="s">
        <v>56</v>
      </c>
      <c r="M1089">
        <v>0</v>
      </c>
      <c r="N1089">
        <v>0</v>
      </c>
      <c r="O1089" s="1" t="s">
        <v>27</v>
      </c>
      <c r="P1089">
        <v>1</v>
      </c>
      <c r="Q1089">
        <v>1</v>
      </c>
      <c r="R1089">
        <v>4</v>
      </c>
      <c r="S1089">
        <v>6</v>
      </c>
      <c r="T1089">
        <v>0</v>
      </c>
      <c r="U1089">
        <v>0</v>
      </c>
      <c r="V1089">
        <v>4.88</v>
      </c>
    </row>
    <row r="1090" spans="1:22">
      <c r="A1090" s="1" t="s">
        <v>1136</v>
      </c>
      <c r="B1090" s="1" t="s">
        <v>45</v>
      </c>
      <c r="C1090" s="2">
        <v>46273</v>
      </c>
      <c r="D1090" s="3">
        <v>0.23958333333333334</v>
      </c>
      <c r="E1090">
        <v>163</v>
      </c>
      <c r="F1090">
        <v>162</v>
      </c>
      <c r="G1090">
        <v>7</v>
      </c>
      <c r="H1090" s="1" t="s">
        <v>46</v>
      </c>
      <c r="I1090">
        <v>18.5</v>
      </c>
      <c r="J1090">
        <v>22</v>
      </c>
      <c r="K1090" s="1" t="s">
        <v>47</v>
      </c>
      <c r="L1090" s="1" t="s">
        <v>26</v>
      </c>
      <c r="M1090">
        <v>0</v>
      </c>
      <c r="N1090">
        <v>0</v>
      </c>
      <c r="O1090" s="1" t="s">
        <v>27</v>
      </c>
      <c r="P1090">
        <v>1</v>
      </c>
      <c r="Q1090">
        <v>1</v>
      </c>
      <c r="R1090">
        <v>6</v>
      </c>
      <c r="S1090">
        <v>5</v>
      </c>
      <c r="T1090">
        <v>0</v>
      </c>
      <c r="U1090">
        <v>0</v>
      </c>
      <c r="V1090">
        <v>8.81</v>
      </c>
    </row>
    <row r="1091" spans="1:22">
      <c r="A1091" s="1" t="s">
        <v>1137</v>
      </c>
      <c r="B1091" s="1" t="s">
        <v>29</v>
      </c>
      <c r="C1091" s="2">
        <v>46276</v>
      </c>
      <c r="D1091" s="3">
        <v>0.45833333333333331</v>
      </c>
      <c r="E1091">
        <v>112</v>
      </c>
      <c r="F1091">
        <v>112</v>
      </c>
      <c r="G1091">
        <v>6</v>
      </c>
      <c r="H1091" s="1" t="s">
        <v>30</v>
      </c>
      <c r="I1091">
        <v>32</v>
      </c>
      <c r="J1091">
        <v>14</v>
      </c>
      <c r="K1091" s="1" t="s">
        <v>31</v>
      </c>
      <c r="L1091" s="1" t="s">
        <v>49</v>
      </c>
      <c r="M1091">
        <v>0</v>
      </c>
      <c r="N1091">
        <v>0</v>
      </c>
      <c r="O1091" s="1" t="s">
        <v>27</v>
      </c>
      <c r="P1091">
        <v>1</v>
      </c>
      <c r="Q1091">
        <v>1</v>
      </c>
      <c r="R1091">
        <v>0</v>
      </c>
      <c r="S1091">
        <v>11</v>
      </c>
      <c r="T1091">
        <v>0</v>
      </c>
      <c r="U1091">
        <v>0</v>
      </c>
      <c r="V1091">
        <v>3.5</v>
      </c>
    </row>
    <row r="1092" spans="1:22">
      <c r="A1092" s="1" t="s">
        <v>1138</v>
      </c>
      <c r="B1092" s="1" t="s">
        <v>23</v>
      </c>
      <c r="C1092" s="2">
        <v>46278</v>
      </c>
      <c r="D1092" s="3">
        <v>0.32291666666666669</v>
      </c>
      <c r="E1092">
        <v>203</v>
      </c>
      <c r="F1092">
        <v>213</v>
      </c>
      <c r="G1092">
        <v>6</v>
      </c>
      <c r="H1092" s="1" t="s">
        <v>24</v>
      </c>
      <c r="I1092">
        <v>15</v>
      </c>
      <c r="J1092">
        <v>16</v>
      </c>
      <c r="K1092" s="1" t="s">
        <v>25</v>
      </c>
      <c r="L1092" s="1" t="s">
        <v>38</v>
      </c>
      <c r="M1092">
        <v>1</v>
      </c>
      <c r="N1092">
        <v>0</v>
      </c>
      <c r="O1092" s="1" t="s">
        <v>27</v>
      </c>
      <c r="P1092">
        <v>1</v>
      </c>
      <c r="Q1092">
        <v>1</v>
      </c>
      <c r="R1092">
        <v>6</v>
      </c>
      <c r="S1092">
        <v>7</v>
      </c>
      <c r="T1092">
        <v>0</v>
      </c>
      <c r="U1092">
        <v>0</v>
      </c>
      <c r="V1092">
        <v>13.53</v>
      </c>
    </row>
    <row r="1093" spans="1:22">
      <c r="A1093" s="1" t="s">
        <v>1139</v>
      </c>
      <c r="B1093" s="1" t="s">
        <v>59</v>
      </c>
      <c r="C1093" s="2">
        <v>46282</v>
      </c>
      <c r="D1093" s="3">
        <v>0.3125</v>
      </c>
      <c r="E1093">
        <v>98</v>
      </c>
      <c r="F1093">
        <v>96</v>
      </c>
      <c r="G1093">
        <v>4</v>
      </c>
      <c r="H1093" s="1" t="s">
        <v>60</v>
      </c>
      <c r="I1093">
        <v>24.8</v>
      </c>
      <c r="J1093">
        <v>28</v>
      </c>
      <c r="K1093" s="1" t="s">
        <v>61</v>
      </c>
      <c r="L1093" s="1" t="s">
        <v>56</v>
      </c>
      <c r="M1093">
        <v>0</v>
      </c>
      <c r="N1093">
        <v>0</v>
      </c>
      <c r="O1093" s="1" t="s">
        <v>27</v>
      </c>
      <c r="P1093">
        <v>1</v>
      </c>
      <c r="Q1093">
        <v>1</v>
      </c>
      <c r="R1093">
        <v>1</v>
      </c>
      <c r="S1093">
        <v>7</v>
      </c>
      <c r="T1093">
        <v>0</v>
      </c>
      <c r="U1093">
        <v>0</v>
      </c>
      <c r="V1093">
        <v>3.95</v>
      </c>
    </row>
    <row r="1094" spans="1:22">
      <c r="A1094" s="1" t="s">
        <v>1140</v>
      </c>
      <c r="B1094" s="1" t="s">
        <v>45</v>
      </c>
      <c r="C1094" s="2">
        <v>46273</v>
      </c>
      <c r="D1094" s="3">
        <v>0.89583333333333337</v>
      </c>
      <c r="E1094">
        <v>113</v>
      </c>
      <c r="F1094">
        <v>111</v>
      </c>
      <c r="G1094">
        <v>3</v>
      </c>
      <c r="H1094" s="1" t="s">
        <v>46</v>
      </c>
      <c r="I1094">
        <v>18.5</v>
      </c>
      <c r="J1094">
        <v>22</v>
      </c>
      <c r="K1094" s="1" t="s">
        <v>47</v>
      </c>
      <c r="L1094" s="1" t="s">
        <v>26</v>
      </c>
      <c r="M1094">
        <v>0</v>
      </c>
      <c r="N1094">
        <v>0</v>
      </c>
      <c r="O1094" s="1" t="s">
        <v>27</v>
      </c>
      <c r="P1094">
        <v>1</v>
      </c>
      <c r="Q1094">
        <v>1</v>
      </c>
      <c r="R1094">
        <v>2</v>
      </c>
      <c r="S1094">
        <v>21</v>
      </c>
      <c r="T1094">
        <v>0</v>
      </c>
      <c r="U1094">
        <v>0</v>
      </c>
      <c r="V1094">
        <v>6.11</v>
      </c>
    </row>
    <row r="1095" spans="1:22">
      <c r="A1095" s="1" t="s">
        <v>1141</v>
      </c>
      <c r="B1095" s="1" t="s">
        <v>34</v>
      </c>
      <c r="C1095" s="2">
        <v>46286</v>
      </c>
      <c r="D1095" s="3">
        <v>0.75</v>
      </c>
      <c r="E1095">
        <v>110</v>
      </c>
      <c r="F1095">
        <v>101</v>
      </c>
      <c r="G1095">
        <v>5</v>
      </c>
      <c r="H1095" s="1" t="s">
        <v>35</v>
      </c>
      <c r="I1095">
        <v>12.2</v>
      </c>
      <c r="J1095">
        <v>18</v>
      </c>
      <c r="K1095" s="1" t="s">
        <v>36</v>
      </c>
      <c r="L1095" s="1" t="s">
        <v>65</v>
      </c>
      <c r="M1095">
        <v>0</v>
      </c>
      <c r="N1095">
        <v>0</v>
      </c>
      <c r="O1095" s="1" t="s">
        <v>27</v>
      </c>
      <c r="P1095">
        <v>1</v>
      </c>
      <c r="Q1095">
        <v>1</v>
      </c>
      <c r="R1095">
        <v>6</v>
      </c>
      <c r="S1095">
        <v>18</v>
      </c>
      <c r="T1095">
        <v>1</v>
      </c>
      <c r="U1095">
        <v>0</v>
      </c>
      <c r="V1095">
        <v>9.02</v>
      </c>
    </row>
    <row r="1096" spans="1:22">
      <c r="A1096" s="1" t="s">
        <v>1142</v>
      </c>
      <c r="B1096" s="1" t="s">
        <v>45</v>
      </c>
      <c r="C1096" s="2">
        <v>46283</v>
      </c>
      <c r="D1096" s="3">
        <v>0.91666666666666663</v>
      </c>
      <c r="E1096">
        <v>140</v>
      </c>
      <c r="F1096">
        <v>145</v>
      </c>
      <c r="G1096">
        <v>7</v>
      </c>
      <c r="H1096" s="1" t="s">
        <v>46</v>
      </c>
      <c r="I1096">
        <v>18.5</v>
      </c>
      <c r="J1096">
        <v>22</v>
      </c>
      <c r="K1096" s="1" t="s">
        <v>47</v>
      </c>
      <c r="L1096" s="1" t="s">
        <v>49</v>
      </c>
      <c r="M1096">
        <v>0</v>
      </c>
      <c r="N1096">
        <v>0</v>
      </c>
      <c r="O1096" s="1" t="s">
        <v>27</v>
      </c>
      <c r="P1096">
        <v>1</v>
      </c>
      <c r="Q1096">
        <v>1</v>
      </c>
      <c r="R1096">
        <v>14</v>
      </c>
      <c r="S1096">
        <v>22</v>
      </c>
      <c r="T1096">
        <v>0</v>
      </c>
      <c r="U1096">
        <v>0</v>
      </c>
      <c r="V1096">
        <v>7.57</v>
      </c>
    </row>
    <row r="1097" spans="1:22">
      <c r="A1097" s="1" t="s">
        <v>1143</v>
      </c>
      <c r="B1097" s="1" t="s">
        <v>59</v>
      </c>
      <c r="C1097" s="2">
        <v>46295</v>
      </c>
      <c r="D1097" s="3">
        <v>0.94791666666666663</v>
      </c>
      <c r="E1097">
        <v>131</v>
      </c>
      <c r="F1097">
        <v>121</v>
      </c>
      <c r="G1097">
        <v>4</v>
      </c>
      <c r="H1097" s="1" t="s">
        <v>60</v>
      </c>
      <c r="I1097">
        <v>24.8</v>
      </c>
      <c r="J1097">
        <v>28</v>
      </c>
      <c r="K1097" s="1" t="s">
        <v>61</v>
      </c>
      <c r="L1097" s="1" t="s">
        <v>69</v>
      </c>
      <c r="M1097">
        <v>0</v>
      </c>
      <c r="N1097">
        <v>0</v>
      </c>
      <c r="O1097" s="1" t="s">
        <v>27</v>
      </c>
      <c r="P1097">
        <v>1</v>
      </c>
      <c r="Q1097">
        <v>1</v>
      </c>
      <c r="R1097">
        <v>2</v>
      </c>
      <c r="S1097">
        <v>22</v>
      </c>
      <c r="T1097">
        <v>0</v>
      </c>
      <c r="U1097">
        <v>0</v>
      </c>
      <c r="V1097">
        <v>5.28</v>
      </c>
    </row>
    <row r="1098" spans="1:22">
      <c r="A1098" s="1" t="s">
        <v>1144</v>
      </c>
      <c r="B1098" s="1" t="s">
        <v>29</v>
      </c>
      <c r="C1098" s="2">
        <v>46283</v>
      </c>
      <c r="D1098" s="3">
        <v>0.21875</v>
      </c>
      <c r="E1098">
        <v>73</v>
      </c>
      <c r="F1098">
        <v>84</v>
      </c>
      <c r="G1098">
        <v>4</v>
      </c>
      <c r="H1098" s="1" t="s">
        <v>30</v>
      </c>
      <c r="I1098">
        <v>32</v>
      </c>
      <c r="J1098">
        <v>14</v>
      </c>
      <c r="K1098" s="1" t="s">
        <v>31</v>
      </c>
      <c r="L1098" s="1" t="s">
        <v>49</v>
      </c>
      <c r="M1098">
        <v>0</v>
      </c>
      <c r="N1098">
        <v>0</v>
      </c>
      <c r="O1098" s="1" t="s">
        <v>27</v>
      </c>
      <c r="P1098">
        <v>1</v>
      </c>
      <c r="Q1098">
        <v>1</v>
      </c>
      <c r="R1098">
        <v>3</v>
      </c>
      <c r="S1098">
        <v>5</v>
      </c>
      <c r="T1098">
        <v>0</v>
      </c>
      <c r="U1098">
        <v>0</v>
      </c>
      <c r="V1098">
        <v>2.2799999999999998</v>
      </c>
    </row>
    <row r="1099" spans="1:22">
      <c r="A1099" s="1" t="s">
        <v>1145</v>
      </c>
      <c r="B1099" s="1" t="s">
        <v>29</v>
      </c>
      <c r="C1099" s="2">
        <v>46279</v>
      </c>
      <c r="D1099" s="3">
        <v>0.21875</v>
      </c>
      <c r="E1099">
        <v>73</v>
      </c>
      <c r="F1099">
        <v>69</v>
      </c>
      <c r="G1099">
        <v>4</v>
      </c>
      <c r="H1099" s="1" t="s">
        <v>30</v>
      </c>
      <c r="I1099">
        <v>32</v>
      </c>
      <c r="J1099">
        <v>14</v>
      </c>
      <c r="K1099" s="1" t="s">
        <v>31</v>
      </c>
      <c r="L1099" s="1" t="s">
        <v>65</v>
      </c>
      <c r="M1099">
        <v>0</v>
      </c>
      <c r="N1099">
        <v>0</v>
      </c>
      <c r="O1099" s="1" t="s">
        <v>27</v>
      </c>
      <c r="P1099">
        <v>1</v>
      </c>
      <c r="Q1099">
        <v>1</v>
      </c>
      <c r="R1099">
        <v>6</v>
      </c>
      <c r="S1099">
        <v>5</v>
      </c>
      <c r="T1099">
        <v>0</v>
      </c>
      <c r="U1099">
        <v>0</v>
      </c>
      <c r="V1099">
        <v>2.2799999999999998</v>
      </c>
    </row>
    <row r="1100" spans="1:22">
      <c r="A1100" s="1" t="s">
        <v>1146</v>
      </c>
      <c r="B1100" s="1" t="s">
        <v>23</v>
      </c>
      <c r="C1100" s="2">
        <v>46280</v>
      </c>
      <c r="D1100" s="3">
        <v>0.73958333333333337</v>
      </c>
      <c r="E1100">
        <v>137</v>
      </c>
      <c r="F1100">
        <v>131</v>
      </c>
      <c r="G1100">
        <v>7</v>
      </c>
      <c r="H1100" s="1" t="s">
        <v>24</v>
      </c>
      <c r="I1100">
        <v>15</v>
      </c>
      <c r="J1100">
        <v>16</v>
      </c>
      <c r="K1100" s="1" t="s">
        <v>25</v>
      </c>
      <c r="L1100" s="1" t="s">
        <v>26</v>
      </c>
      <c r="M1100">
        <v>0</v>
      </c>
      <c r="N1100">
        <v>0</v>
      </c>
      <c r="O1100" s="1" t="s">
        <v>27</v>
      </c>
      <c r="P1100">
        <v>1</v>
      </c>
      <c r="Q1100">
        <v>1</v>
      </c>
      <c r="R1100">
        <v>28</v>
      </c>
      <c r="S1100">
        <v>17</v>
      </c>
      <c r="T1100">
        <v>1</v>
      </c>
      <c r="U1100">
        <v>0</v>
      </c>
      <c r="V1100">
        <v>9.1300000000000008</v>
      </c>
    </row>
    <row r="1101" spans="1:22">
      <c r="A1101" s="1" t="s">
        <v>1147</v>
      </c>
      <c r="B1101" s="1" t="s">
        <v>29</v>
      </c>
      <c r="C1101" s="2">
        <v>46271</v>
      </c>
      <c r="D1101" s="3">
        <v>0.60416666666666663</v>
      </c>
      <c r="E1101">
        <v>134</v>
      </c>
      <c r="F1101">
        <v>134</v>
      </c>
      <c r="G1101">
        <v>4</v>
      </c>
      <c r="H1101" s="1" t="s">
        <v>30</v>
      </c>
      <c r="I1101">
        <v>32</v>
      </c>
      <c r="J1101">
        <v>14</v>
      </c>
      <c r="K1101" s="1" t="s">
        <v>31</v>
      </c>
      <c r="L1101" s="1" t="s">
        <v>38</v>
      </c>
      <c r="M1101">
        <v>1</v>
      </c>
      <c r="N1101">
        <v>0</v>
      </c>
      <c r="O1101" s="1" t="s">
        <v>27</v>
      </c>
      <c r="P1101">
        <v>1</v>
      </c>
      <c r="Q1101">
        <v>1</v>
      </c>
      <c r="R1101">
        <v>3</v>
      </c>
      <c r="S1101">
        <v>14</v>
      </c>
      <c r="T1101">
        <v>0</v>
      </c>
      <c r="U1101">
        <v>0</v>
      </c>
      <c r="V1101">
        <v>4.1900000000000004</v>
      </c>
    </row>
    <row r="1102" spans="1:22">
      <c r="A1102" s="1" t="s">
        <v>1148</v>
      </c>
      <c r="B1102" s="1" t="s">
        <v>23</v>
      </c>
      <c r="C1102" s="2">
        <v>46276</v>
      </c>
      <c r="D1102" s="3">
        <v>0.625</v>
      </c>
      <c r="E1102">
        <v>108</v>
      </c>
      <c r="F1102">
        <v>103</v>
      </c>
      <c r="G1102">
        <v>4</v>
      </c>
      <c r="H1102" s="1" t="s">
        <v>24</v>
      </c>
      <c r="I1102">
        <v>15</v>
      </c>
      <c r="J1102">
        <v>16</v>
      </c>
      <c r="K1102" s="1" t="s">
        <v>25</v>
      </c>
      <c r="L1102" s="1" t="s">
        <v>49</v>
      </c>
      <c r="M1102">
        <v>0</v>
      </c>
      <c r="N1102">
        <v>0</v>
      </c>
      <c r="O1102" s="1" t="s">
        <v>27</v>
      </c>
      <c r="P1102">
        <v>1</v>
      </c>
      <c r="Q1102">
        <v>1</v>
      </c>
      <c r="R1102">
        <v>4</v>
      </c>
      <c r="S1102">
        <v>15</v>
      </c>
      <c r="T1102">
        <v>0</v>
      </c>
      <c r="U1102">
        <v>0</v>
      </c>
      <c r="V1102">
        <v>7.2</v>
      </c>
    </row>
    <row r="1103" spans="1:22">
      <c r="A1103" s="1" t="s">
        <v>1149</v>
      </c>
      <c r="B1103" s="1" t="s">
        <v>23</v>
      </c>
      <c r="C1103" s="2">
        <v>46278</v>
      </c>
      <c r="D1103" s="3">
        <v>0.54166666666666663</v>
      </c>
      <c r="E1103">
        <v>147</v>
      </c>
      <c r="F1103">
        <v>137</v>
      </c>
      <c r="G1103">
        <v>5</v>
      </c>
      <c r="H1103" s="1" t="s">
        <v>24</v>
      </c>
      <c r="I1103">
        <v>15</v>
      </c>
      <c r="J1103">
        <v>16</v>
      </c>
      <c r="K1103" s="1" t="s">
        <v>25</v>
      </c>
      <c r="L1103" s="1" t="s">
        <v>38</v>
      </c>
      <c r="M1103">
        <v>1</v>
      </c>
      <c r="N1103">
        <v>0</v>
      </c>
      <c r="O1103" s="1" t="s">
        <v>27</v>
      </c>
      <c r="P1103">
        <v>1</v>
      </c>
      <c r="Q1103">
        <v>1</v>
      </c>
      <c r="R1103">
        <v>11</v>
      </c>
      <c r="S1103">
        <v>13</v>
      </c>
      <c r="T1103">
        <v>0</v>
      </c>
      <c r="U1103">
        <v>0</v>
      </c>
      <c r="V1103">
        <v>9.8000000000000007</v>
      </c>
    </row>
    <row r="1104" spans="1:22">
      <c r="A1104" s="1" t="s">
        <v>1150</v>
      </c>
      <c r="B1104" s="1" t="s">
        <v>59</v>
      </c>
      <c r="C1104" s="2">
        <v>46290</v>
      </c>
      <c r="D1104" s="3">
        <v>0.20833333333333334</v>
      </c>
      <c r="E1104">
        <v>83</v>
      </c>
      <c r="F1104">
        <v>75</v>
      </c>
      <c r="G1104">
        <v>4</v>
      </c>
      <c r="H1104" s="1" t="s">
        <v>60</v>
      </c>
      <c r="I1104">
        <v>24.8</v>
      </c>
      <c r="J1104">
        <v>28</v>
      </c>
      <c r="K1104" s="1" t="s">
        <v>61</v>
      </c>
      <c r="L1104" s="1" t="s">
        <v>49</v>
      </c>
      <c r="M1104">
        <v>0</v>
      </c>
      <c r="N1104">
        <v>0</v>
      </c>
      <c r="O1104" s="1" t="s">
        <v>27</v>
      </c>
      <c r="P1104">
        <v>1</v>
      </c>
      <c r="Q1104">
        <v>1</v>
      </c>
      <c r="R1104">
        <v>1</v>
      </c>
      <c r="S1104">
        <v>5</v>
      </c>
      <c r="T1104">
        <v>0</v>
      </c>
      <c r="U1104">
        <v>0</v>
      </c>
      <c r="V1104">
        <v>3.35</v>
      </c>
    </row>
    <row r="1105" spans="1:22">
      <c r="A1105" s="1" t="s">
        <v>1151</v>
      </c>
      <c r="B1105" s="1" t="s">
        <v>29</v>
      </c>
      <c r="C1105" s="2">
        <v>46266</v>
      </c>
      <c r="D1105" s="3">
        <v>0.28125</v>
      </c>
      <c r="E1105">
        <v>58</v>
      </c>
      <c r="F1105">
        <v>62</v>
      </c>
      <c r="G1105">
        <v>5</v>
      </c>
      <c r="H1105" s="1" t="s">
        <v>30</v>
      </c>
      <c r="I1105">
        <v>32</v>
      </c>
      <c r="J1105">
        <v>14</v>
      </c>
      <c r="K1105" s="1" t="s">
        <v>31</v>
      </c>
      <c r="L1105" s="1" t="s">
        <v>26</v>
      </c>
      <c r="M1105">
        <v>0</v>
      </c>
      <c r="N1105">
        <v>0</v>
      </c>
      <c r="O1105" s="1" t="s">
        <v>27</v>
      </c>
      <c r="P1105">
        <v>1</v>
      </c>
      <c r="Q1105">
        <v>1</v>
      </c>
      <c r="R1105">
        <v>4</v>
      </c>
      <c r="S1105">
        <v>6</v>
      </c>
      <c r="T1105">
        <v>0</v>
      </c>
      <c r="U1105">
        <v>0</v>
      </c>
      <c r="V1105">
        <v>1.81</v>
      </c>
    </row>
    <row r="1106" spans="1:22">
      <c r="A1106" s="1" t="s">
        <v>1152</v>
      </c>
      <c r="B1106" s="1" t="s">
        <v>23</v>
      </c>
      <c r="C1106" s="2">
        <v>46293</v>
      </c>
      <c r="D1106" s="3">
        <v>0.70833333333333337</v>
      </c>
      <c r="E1106">
        <v>102</v>
      </c>
      <c r="F1106">
        <v>90</v>
      </c>
      <c r="G1106">
        <v>5</v>
      </c>
      <c r="H1106" s="1" t="s">
        <v>24</v>
      </c>
      <c r="I1106">
        <v>15</v>
      </c>
      <c r="J1106">
        <v>16</v>
      </c>
      <c r="K1106" s="1" t="s">
        <v>25</v>
      </c>
      <c r="L1106" s="1" t="s">
        <v>65</v>
      </c>
      <c r="M1106">
        <v>0</v>
      </c>
      <c r="N1106">
        <v>0</v>
      </c>
      <c r="O1106" s="1" t="s">
        <v>27</v>
      </c>
      <c r="P1106">
        <v>1</v>
      </c>
      <c r="Q1106">
        <v>1</v>
      </c>
      <c r="R1106">
        <v>1</v>
      </c>
      <c r="S1106">
        <v>17</v>
      </c>
      <c r="T1106">
        <v>1</v>
      </c>
      <c r="U1106">
        <v>0</v>
      </c>
      <c r="V1106">
        <v>6.8</v>
      </c>
    </row>
    <row r="1107" spans="1:22">
      <c r="A1107" s="1" t="s">
        <v>1153</v>
      </c>
      <c r="B1107" s="1" t="s">
        <v>29</v>
      </c>
      <c r="C1107" s="2">
        <v>46271</v>
      </c>
      <c r="D1107" s="3">
        <v>0.33333333333333331</v>
      </c>
      <c r="E1107">
        <v>112</v>
      </c>
      <c r="F1107">
        <v>113</v>
      </c>
      <c r="G1107">
        <v>5</v>
      </c>
      <c r="H1107" s="1" t="s">
        <v>30</v>
      </c>
      <c r="I1107">
        <v>32</v>
      </c>
      <c r="J1107">
        <v>14</v>
      </c>
      <c r="K1107" s="1" t="s">
        <v>31</v>
      </c>
      <c r="L1107" s="1" t="s">
        <v>38</v>
      </c>
      <c r="M1107">
        <v>1</v>
      </c>
      <c r="N1107">
        <v>0</v>
      </c>
      <c r="O1107" s="1" t="s">
        <v>27</v>
      </c>
      <c r="P1107">
        <v>1</v>
      </c>
      <c r="Q1107">
        <v>1</v>
      </c>
      <c r="R1107">
        <v>2</v>
      </c>
      <c r="S1107">
        <v>8</v>
      </c>
      <c r="T1107">
        <v>1</v>
      </c>
      <c r="U1107">
        <v>0</v>
      </c>
      <c r="V1107">
        <v>3.5</v>
      </c>
    </row>
    <row r="1108" spans="1:22">
      <c r="A1108" s="1" t="s">
        <v>1154</v>
      </c>
      <c r="B1108" s="1" t="s">
        <v>34</v>
      </c>
      <c r="C1108" s="2">
        <v>46274</v>
      </c>
      <c r="D1108" s="3">
        <v>0.65625</v>
      </c>
      <c r="E1108">
        <v>62</v>
      </c>
      <c r="F1108">
        <v>59</v>
      </c>
      <c r="G1108">
        <v>3</v>
      </c>
      <c r="H1108" s="1" t="s">
        <v>35</v>
      </c>
      <c r="I1108">
        <v>12.2</v>
      </c>
      <c r="J1108">
        <v>18</v>
      </c>
      <c r="K1108" s="1" t="s">
        <v>36</v>
      </c>
      <c r="L1108" s="1" t="s">
        <v>69</v>
      </c>
      <c r="M1108">
        <v>0</v>
      </c>
      <c r="N1108">
        <v>0</v>
      </c>
      <c r="O1108" s="1" t="s">
        <v>27</v>
      </c>
      <c r="P1108">
        <v>1</v>
      </c>
      <c r="Q1108">
        <v>1</v>
      </c>
      <c r="R1108">
        <v>6</v>
      </c>
      <c r="S1108">
        <v>15</v>
      </c>
      <c r="T1108">
        <v>0</v>
      </c>
      <c r="U1108">
        <v>0</v>
      </c>
      <c r="V1108">
        <v>5.08</v>
      </c>
    </row>
    <row r="1109" spans="1:22">
      <c r="A1109" s="1" t="s">
        <v>1155</v>
      </c>
      <c r="B1109" s="1" t="s">
        <v>45</v>
      </c>
      <c r="C1109" s="2">
        <v>46273</v>
      </c>
      <c r="D1109" s="3">
        <v>0.32291666666666669</v>
      </c>
      <c r="E1109">
        <v>52</v>
      </c>
      <c r="F1109">
        <v>50</v>
      </c>
      <c r="G1109">
        <v>3</v>
      </c>
      <c r="H1109" s="1" t="s">
        <v>46</v>
      </c>
      <c r="I1109">
        <v>18.5</v>
      </c>
      <c r="J1109">
        <v>22</v>
      </c>
      <c r="K1109" s="1" t="s">
        <v>47</v>
      </c>
      <c r="L1109" s="1" t="s">
        <v>26</v>
      </c>
      <c r="M1109">
        <v>0</v>
      </c>
      <c r="N1109">
        <v>0</v>
      </c>
      <c r="O1109" s="1" t="s">
        <v>27</v>
      </c>
      <c r="P1109">
        <v>1</v>
      </c>
      <c r="Q1109">
        <v>1</v>
      </c>
      <c r="R1109">
        <v>2</v>
      </c>
      <c r="S1109">
        <v>7</v>
      </c>
      <c r="T1109">
        <v>0</v>
      </c>
      <c r="U1109">
        <v>0</v>
      </c>
      <c r="V1109">
        <v>2.81</v>
      </c>
    </row>
    <row r="1110" spans="1:22">
      <c r="A1110" s="1" t="s">
        <v>1156</v>
      </c>
      <c r="B1110" s="1" t="s">
        <v>45</v>
      </c>
      <c r="C1110" s="2">
        <v>46276</v>
      </c>
      <c r="D1110" s="3">
        <v>0.73958333333333337</v>
      </c>
      <c r="E1110">
        <v>88</v>
      </c>
      <c r="F1110">
        <v>81</v>
      </c>
      <c r="G1110">
        <v>5</v>
      </c>
      <c r="H1110" s="1" t="s">
        <v>46</v>
      </c>
      <c r="I1110">
        <v>18.5</v>
      </c>
      <c r="J1110">
        <v>22</v>
      </c>
      <c r="K1110" s="1" t="s">
        <v>47</v>
      </c>
      <c r="L1110" s="1" t="s">
        <v>49</v>
      </c>
      <c r="M1110">
        <v>0</v>
      </c>
      <c r="N1110">
        <v>0</v>
      </c>
      <c r="O1110" s="1" t="s">
        <v>27</v>
      </c>
      <c r="P1110">
        <v>1</v>
      </c>
      <c r="Q1110">
        <v>1</v>
      </c>
      <c r="R1110">
        <v>8</v>
      </c>
      <c r="S1110">
        <v>17</v>
      </c>
      <c r="T1110">
        <v>1</v>
      </c>
      <c r="U1110">
        <v>0</v>
      </c>
      <c r="V1110">
        <v>4.76</v>
      </c>
    </row>
    <row r="1111" spans="1:22">
      <c r="A1111" s="1" t="s">
        <v>1157</v>
      </c>
      <c r="B1111" s="1" t="s">
        <v>59</v>
      </c>
      <c r="C1111" s="2">
        <v>46287</v>
      </c>
      <c r="D1111" s="3">
        <v>0.47916666666666669</v>
      </c>
      <c r="E1111">
        <v>94</v>
      </c>
      <c r="F1111">
        <v>96</v>
      </c>
      <c r="G1111">
        <v>5</v>
      </c>
      <c r="H1111" s="1" t="s">
        <v>60</v>
      </c>
      <c r="I1111">
        <v>24.8</v>
      </c>
      <c r="J1111">
        <v>28</v>
      </c>
      <c r="K1111" s="1" t="s">
        <v>61</v>
      </c>
      <c r="L1111" s="1" t="s">
        <v>26</v>
      </c>
      <c r="M1111">
        <v>0</v>
      </c>
      <c r="N1111">
        <v>0</v>
      </c>
      <c r="O1111" s="1" t="s">
        <v>27</v>
      </c>
      <c r="P1111">
        <v>1</v>
      </c>
      <c r="Q1111">
        <v>1</v>
      </c>
      <c r="R1111">
        <v>15</v>
      </c>
      <c r="S1111">
        <v>11</v>
      </c>
      <c r="T1111">
        <v>0</v>
      </c>
      <c r="U1111">
        <v>0</v>
      </c>
      <c r="V1111">
        <v>3.79</v>
      </c>
    </row>
    <row r="1112" spans="1:22">
      <c r="A1112" s="1" t="s">
        <v>1158</v>
      </c>
      <c r="B1112" s="1" t="s">
        <v>29</v>
      </c>
      <c r="C1112" s="2">
        <v>46284</v>
      </c>
      <c r="D1112" s="3">
        <v>0.46875</v>
      </c>
      <c r="E1112">
        <v>147</v>
      </c>
      <c r="F1112">
        <v>141</v>
      </c>
      <c r="G1112">
        <v>5</v>
      </c>
      <c r="H1112" s="1" t="s">
        <v>30</v>
      </c>
      <c r="I1112">
        <v>32</v>
      </c>
      <c r="J1112">
        <v>14</v>
      </c>
      <c r="K1112" s="1" t="s">
        <v>31</v>
      </c>
      <c r="L1112" s="1" t="s">
        <v>32</v>
      </c>
      <c r="M1112">
        <v>1</v>
      </c>
      <c r="N1112">
        <v>1</v>
      </c>
      <c r="O1112" s="1" t="s">
        <v>27</v>
      </c>
      <c r="P1112">
        <v>1</v>
      </c>
      <c r="Q1112">
        <v>1</v>
      </c>
      <c r="R1112">
        <v>2</v>
      </c>
      <c r="S1112">
        <v>11</v>
      </c>
      <c r="T1112">
        <v>0</v>
      </c>
      <c r="U1112">
        <v>0</v>
      </c>
      <c r="V1112">
        <v>4.59</v>
      </c>
    </row>
    <row r="1113" spans="1:22">
      <c r="A1113" s="1" t="s">
        <v>1159</v>
      </c>
      <c r="B1113" s="1" t="s">
        <v>29</v>
      </c>
      <c r="C1113" s="2">
        <v>46289</v>
      </c>
      <c r="D1113" s="3">
        <v>0.5</v>
      </c>
      <c r="E1113">
        <v>117</v>
      </c>
      <c r="F1113">
        <v>119</v>
      </c>
      <c r="G1113">
        <v>7</v>
      </c>
      <c r="H1113" s="1" t="s">
        <v>30</v>
      </c>
      <c r="I1113">
        <v>32</v>
      </c>
      <c r="J1113">
        <v>14</v>
      </c>
      <c r="K1113" s="1" t="s">
        <v>31</v>
      </c>
      <c r="L1113" s="1" t="s">
        <v>56</v>
      </c>
      <c r="M1113">
        <v>0</v>
      </c>
      <c r="N1113">
        <v>0</v>
      </c>
      <c r="O1113" s="1" t="s">
        <v>27</v>
      </c>
      <c r="P1113">
        <v>1</v>
      </c>
      <c r="Q1113">
        <v>1</v>
      </c>
      <c r="R1113">
        <v>3</v>
      </c>
      <c r="S1113">
        <v>12</v>
      </c>
      <c r="T1113">
        <v>0</v>
      </c>
      <c r="U1113">
        <v>0</v>
      </c>
      <c r="V1113">
        <v>3.66</v>
      </c>
    </row>
    <row r="1114" spans="1:22">
      <c r="A1114" s="1" t="s">
        <v>1160</v>
      </c>
      <c r="B1114" s="1" t="s">
        <v>23</v>
      </c>
      <c r="C1114" s="2">
        <v>46274</v>
      </c>
      <c r="D1114" s="3">
        <v>0.78125</v>
      </c>
      <c r="E1114">
        <v>73</v>
      </c>
      <c r="F1114">
        <v>76</v>
      </c>
      <c r="G1114">
        <v>4</v>
      </c>
      <c r="H1114" s="1" t="s">
        <v>24</v>
      </c>
      <c r="I1114">
        <v>15</v>
      </c>
      <c r="J1114">
        <v>16</v>
      </c>
      <c r="K1114" s="1" t="s">
        <v>25</v>
      </c>
      <c r="L1114" s="1" t="s">
        <v>69</v>
      </c>
      <c r="M1114">
        <v>0</v>
      </c>
      <c r="N1114">
        <v>0</v>
      </c>
      <c r="O1114" s="1" t="s">
        <v>27</v>
      </c>
      <c r="P1114">
        <v>1</v>
      </c>
      <c r="Q1114">
        <v>1</v>
      </c>
      <c r="R1114">
        <v>1</v>
      </c>
      <c r="S1114">
        <v>18</v>
      </c>
      <c r="T1114">
        <v>1</v>
      </c>
      <c r="U1114">
        <v>0</v>
      </c>
      <c r="V1114">
        <v>4.87</v>
      </c>
    </row>
    <row r="1115" spans="1:22">
      <c r="A1115" s="1" t="s">
        <v>1161</v>
      </c>
      <c r="B1115" s="1" t="s">
        <v>45</v>
      </c>
      <c r="C1115" s="2">
        <v>46282</v>
      </c>
      <c r="D1115" s="3">
        <v>0.61458333333333337</v>
      </c>
      <c r="E1115">
        <v>98</v>
      </c>
      <c r="F1115">
        <v>97</v>
      </c>
      <c r="G1115">
        <v>6</v>
      </c>
      <c r="H1115" s="1" t="s">
        <v>46</v>
      </c>
      <c r="I1115">
        <v>18.5</v>
      </c>
      <c r="J1115">
        <v>22</v>
      </c>
      <c r="K1115" s="1" t="s">
        <v>47</v>
      </c>
      <c r="L1115" s="1" t="s">
        <v>56</v>
      </c>
      <c r="M1115">
        <v>0</v>
      </c>
      <c r="N1115">
        <v>0</v>
      </c>
      <c r="O1115" s="1" t="s">
        <v>27</v>
      </c>
      <c r="P1115">
        <v>1</v>
      </c>
      <c r="Q1115">
        <v>1</v>
      </c>
      <c r="R1115">
        <v>8</v>
      </c>
      <c r="S1115">
        <v>14</v>
      </c>
      <c r="T1115">
        <v>0</v>
      </c>
      <c r="U1115">
        <v>0</v>
      </c>
      <c r="V1115">
        <v>5.3</v>
      </c>
    </row>
    <row r="1116" spans="1:22">
      <c r="A1116" s="1" t="s">
        <v>1162</v>
      </c>
      <c r="B1116" s="1" t="s">
        <v>23</v>
      </c>
      <c r="C1116" s="2">
        <v>46277</v>
      </c>
      <c r="D1116" s="3">
        <v>0.80208333333333337</v>
      </c>
      <c r="E1116">
        <v>56</v>
      </c>
      <c r="F1116">
        <v>55</v>
      </c>
      <c r="G1116">
        <v>3</v>
      </c>
      <c r="H1116" s="1" t="s">
        <v>24</v>
      </c>
      <c r="I1116">
        <v>15</v>
      </c>
      <c r="J1116">
        <v>16</v>
      </c>
      <c r="K1116" s="1" t="s">
        <v>25</v>
      </c>
      <c r="L1116" s="1" t="s">
        <v>32</v>
      </c>
      <c r="M1116">
        <v>1</v>
      </c>
      <c r="N1116">
        <v>0</v>
      </c>
      <c r="O1116" s="1" t="s">
        <v>40</v>
      </c>
      <c r="P1116">
        <v>1</v>
      </c>
      <c r="Q1116">
        <v>1</v>
      </c>
      <c r="R1116">
        <v>10</v>
      </c>
      <c r="S1116">
        <v>19</v>
      </c>
      <c r="T1116">
        <v>1</v>
      </c>
      <c r="U1116">
        <v>1</v>
      </c>
      <c r="V1116">
        <v>3.73</v>
      </c>
    </row>
    <row r="1117" spans="1:22">
      <c r="A1117" s="1" t="s">
        <v>1163</v>
      </c>
      <c r="B1117" s="1" t="s">
        <v>34</v>
      </c>
      <c r="C1117" s="2">
        <v>46290</v>
      </c>
      <c r="D1117" s="3">
        <v>0.70833333333333337</v>
      </c>
      <c r="E1117">
        <v>67</v>
      </c>
      <c r="F1117">
        <v>63</v>
      </c>
      <c r="G1117">
        <v>4</v>
      </c>
      <c r="H1117" s="1" t="s">
        <v>35</v>
      </c>
      <c r="I1117">
        <v>12.2</v>
      </c>
      <c r="J1117">
        <v>18</v>
      </c>
      <c r="K1117" s="1" t="s">
        <v>36</v>
      </c>
      <c r="L1117" s="1" t="s">
        <v>49</v>
      </c>
      <c r="M1117">
        <v>0</v>
      </c>
      <c r="N1117">
        <v>0</v>
      </c>
      <c r="O1117" s="1" t="s">
        <v>27</v>
      </c>
      <c r="P1117">
        <v>1</v>
      </c>
      <c r="Q1117">
        <v>1</v>
      </c>
      <c r="R1117">
        <v>2</v>
      </c>
      <c r="S1117">
        <v>17</v>
      </c>
      <c r="T1117">
        <v>1</v>
      </c>
      <c r="U1117">
        <v>0</v>
      </c>
      <c r="V1117">
        <v>5.49</v>
      </c>
    </row>
    <row r="1118" spans="1:22">
      <c r="A1118" s="1" t="s">
        <v>1164</v>
      </c>
      <c r="B1118" s="1" t="s">
        <v>29</v>
      </c>
      <c r="C1118" s="2">
        <v>46279</v>
      </c>
      <c r="D1118" s="3">
        <v>0.5</v>
      </c>
      <c r="E1118">
        <v>128</v>
      </c>
      <c r="F1118">
        <v>129</v>
      </c>
      <c r="G1118">
        <v>6</v>
      </c>
      <c r="H1118" s="1" t="s">
        <v>30</v>
      </c>
      <c r="I1118">
        <v>32</v>
      </c>
      <c r="J1118">
        <v>14</v>
      </c>
      <c r="K1118" s="1" t="s">
        <v>31</v>
      </c>
      <c r="L1118" s="1" t="s">
        <v>65</v>
      </c>
      <c r="M1118">
        <v>0</v>
      </c>
      <c r="N1118">
        <v>0</v>
      </c>
      <c r="O1118" s="1" t="s">
        <v>27</v>
      </c>
      <c r="P1118">
        <v>1</v>
      </c>
      <c r="Q1118">
        <v>1</v>
      </c>
      <c r="R1118">
        <v>8</v>
      </c>
      <c r="S1118">
        <v>12</v>
      </c>
      <c r="T1118">
        <v>0</v>
      </c>
      <c r="U1118">
        <v>0</v>
      </c>
      <c r="V1118">
        <v>4</v>
      </c>
    </row>
    <row r="1119" spans="1:22">
      <c r="A1119" s="1" t="s">
        <v>1165</v>
      </c>
      <c r="B1119" s="1" t="s">
        <v>45</v>
      </c>
      <c r="C1119" s="2">
        <v>46280</v>
      </c>
      <c r="D1119" s="3">
        <v>0.85416666666666663</v>
      </c>
      <c r="E1119">
        <v>105</v>
      </c>
      <c r="F1119">
        <v>97</v>
      </c>
      <c r="G1119">
        <v>4</v>
      </c>
      <c r="H1119" s="1" t="s">
        <v>46</v>
      </c>
      <c r="I1119">
        <v>18.5</v>
      </c>
      <c r="J1119">
        <v>22</v>
      </c>
      <c r="K1119" s="1" t="s">
        <v>47</v>
      </c>
      <c r="L1119" s="1" t="s">
        <v>26</v>
      </c>
      <c r="M1119">
        <v>0</v>
      </c>
      <c r="N1119">
        <v>0</v>
      </c>
      <c r="O1119" s="1" t="s">
        <v>27</v>
      </c>
      <c r="P1119">
        <v>1</v>
      </c>
      <c r="Q1119">
        <v>1</v>
      </c>
      <c r="R1119">
        <v>0</v>
      </c>
      <c r="S1119">
        <v>20</v>
      </c>
      <c r="T1119">
        <v>0</v>
      </c>
      <c r="U1119">
        <v>0</v>
      </c>
      <c r="V1119">
        <v>5.68</v>
      </c>
    </row>
    <row r="1120" spans="1:22">
      <c r="A1120" s="1" t="s">
        <v>1166</v>
      </c>
      <c r="B1120" s="1" t="s">
        <v>23</v>
      </c>
      <c r="C1120" s="2">
        <v>46281</v>
      </c>
      <c r="D1120" s="3">
        <v>0.85416666666666663</v>
      </c>
      <c r="E1120">
        <v>26</v>
      </c>
      <c r="F1120">
        <v>27</v>
      </c>
      <c r="G1120">
        <v>2</v>
      </c>
      <c r="H1120" s="1" t="s">
        <v>24</v>
      </c>
      <c r="I1120">
        <v>15</v>
      </c>
      <c r="J1120">
        <v>16</v>
      </c>
      <c r="K1120" s="1" t="s">
        <v>25</v>
      </c>
      <c r="L1120" s="1" t="s">
        <v>69</v>
      </c>
      <c r="M1120">
        <v>0</v>
      </c>
      <c r="N1120">
        <v>0</v>
      </c>
      <c r="O1120" s="1" t="s">
        <v>27</v>
      </c>
      <c r="P1120">
        <v>1</v>
      </c>
      <c r="Q1120">
        <v>1</v>
      </c>
      <c r="R1120">
        <v>4</v>
      </c>
      <c r="S1120">
        <v>20</v>
      </c>
      <c r="T1120">
        <v>0</v>
      </c>
      <c r="U1120">
        <v>0</v>
      </c>
      <c r="V1120">
        <v>1.73</v>
      </c>
    </row>
    <row r="1121" spans="1:22">
      <c r="A1121" s="1" t="s">
        <v>1167</v>
      </c>
      <c r="B1121" s="1" t="s">
        <v>45</v>
      </c>
      <c r="C1121" s="2">
        <v>46287</v>
      </c>
      <c r="D1121" s="3">
        <v>0.78125</v>
      </c>
      <c r="E1121">
        <v>63</v>
      </c>
      <c r="F1121">
        <v>63</v>
      </c>
      <c r="G1121">
        <v>3</v>
      </c>
      <c r="H1121" s="1" t="s">
        <v>46</v>
      </c>
      <c r="I1121">
        <v>18.5</v>
      </c>
      <c r="J1121">
        <v>22</v>
      </c>
      <c r="K1121" s="1" t="s">
        <v>47</v>
      </c>
      <c r="L1121" s="1" t="s">
        <v>26</v>
      </c>
      <c r="M1121">
        <v>0</v>
      </c>
      <c r="N1121">
        <v>0</v>
      </c>
      <c r="O1121" s="1" t="s">
        <v>27</v>
      </c>
      <c r="P1121">
        <v>1</v>
      </c>
      <c r="Q1121">
        <v>1</v>
      </c>
      <c r="R1121">
        <v>10</v>
      </c>
      <c r="S1121">
        <v>18</v>
      </c>
      <c r="T1121">
        <v>1</v>
      </c>
      <c r="U1121">
        <v>0</v>
      </c>
      <c r="V1121">
        <v>3.41</v>
      </c>
    </row>
    <row r="1122" spans="1:22">
      <c r="A1122" s="1" t="s">
        <v>1168</v>
      </c>
      <c r="B1122" s="1" t="s">
        <v>45</v>
      </c>
      <c r="C1122" s="2">
        <v>46287</v>
      </c>
      <c r="D1122" s="3">
        <v>0.75</v>
      </c>
      <c r="E1122">
        <v>95</v>
      </c>
      <c r="F1122">
        <v>93</v>
      </c>
      <c r="G1122">
        <v>4</v>
      </c>
      <c r="H1122" s="1" t="s">
        <v>46</v>
      </c>
      <c r="I1122">
        <v>18.5</v>
      </c>
      <c r="J1122">
        <v>22</v>
      </c>
      <c r="K1122" s="1" t="s">
        <v>47</v>
      </c>
      <c r="L1122" s="1" t="s">
        <v>26</v>
      </c>
      <c r="M1122">
        <v>0</v>
      </c>
      <c r="N1122">
        <v>0</v>
      </c>
      <c r="O1122" s="1" t="s">
        <v>27</v>
      </c>
      <c r="P1122">
        <v>1</v>
      </c>
      <c r="Q1122">
        <v>1</v>
      </c>
      <c r="R1122">
        <v>10</v>
      </c>
      <c r="S1122">
        <v>18</v>
      </c>
      <c r="T1122">
        <v>1</v>
      </c>
      <c r="U1122">
        <v>0</v>
      </c>
      <c r="V1122">
        <v>5.14</v>
      </c>
    </row>
    <row r="1123" spans="1:22">
      <c r="A1123" s="1" t="s">
        <v>1169</v>
      </c>
      <c r="B1123" s="1" t="s">
        <v>23</v>
      </c>
      <c r="C1123" s="2">
        <v>46293</v>
      </c>
      <c r="D1123" s="3">
        <v>0.34375</v>
      </c>
      <c r="E1123">
        <v>124</v>
      </c>
      <c r="F1123">
        <v>120</v>
      </c>
      <c r="G1123">
        <v>5</v>
      </c>
      <c r="H1123" s="1" t="s">
        <v>24</v>
      </c>
      <c r="I1123">
        <v>15</v>
      </c>
      <c r="J1123">
        <v>16</v>
      </c>
      <c r="K1123" s="1" t="s">
        <v>25</v>
      </c>
      <c r="L1123" s="1" t="s">
        <v>65</v>
      </c>
      <c r="M1123">
        <v>0</v>
      </c>
      <c r="N1123">
        <v>0</v>
      </c>
      <c r="O1123" s="1" t="s">
        <v>27</v>
      </c>
      <c r="P1123">
        <v>1</v>
      </c>
      <c r="Q1123">
        <v>1</v>
      </c>
      <c r="R1123">
        <v>13</v>
      </c>
      <c r="S1123">
        <v>8</v>
      </c>
      <c r="T1123">
        <v>1</v>
      </c>
      <c r="U1123">
        <v>0</v>
      </c>
      <c r="V1123">
        <v>8.27</v>
      </c>
    </row>
    <row r="1124" spans="1:22">
      <c r="A1124" s="1" t="s">
        <v>1170</v>
      </c>
      <c r="B1124" s="1" t="s">
        <v>59</v>
      </c>
      <c r="C1124" s="2">
        <v>46285</v>
      </c>
      <c r="D1124" s="3">
        <v>0.8125</v>
      </c>
      <c r="E1124">
        <v>175</v>
      </c>
      <c r="F1124">
        <v>176</v>
      </c>
      <c r="G1124">
        <v>5</v>
      </c>
      <c r="H1124" s="1" t="s">
        <v>60</v>
      </c>
      <c r="I1124">
        <v>24.8</v>
      </c>
      <c r="J1124">
        <v>28</v>
      </c>
      <c r="K1124" s="1" t="s">
        <v>61</v>
      </c>
      <c r="L1124" s="1" t="s">
        <v>38</v>
      </c>
      <c r="M1124">
        <v>1</v>
      </c>
      <c r="N1124">
        <v>0</v>
      </c>
      <c r="O1124" s="1" t="s">
        <v>52</v>
      </c>
      <c r="P1124">
        <v>1</v>
      </c>
      <c r="Q1124">
        <v>1</v>
      </c>
      <c r="R1124">
        <v>2</v>
      </c>
      <c r="S1124">
        <v>19</v>
      </c>
      <c r="T1124">
        <v>1</v>
      </c>
      <c r="U1124">
        <v>1</v>
      </c>
      <c r="V1124">
        <v>7.06</v>
      </c>
    </row>
    <row r="1125" spans="1:22">
      <c r="A1125" s="1" t="s">
        <v>1171</v>
      </c>
      <c r="B1125" s="1" t="s">
        <v>45</v>
      </c>
      <c r="C1125" s="2">
        <v>46266</v>
      </c>
      <c r="D1125" s="3">
        <v>0.375</v>
      </c>
      <c r="E1125">
        <v>59</v>
      </c>
      <c r="F1125">
        <v>49</v>
      </c>
      <c r="G1125">
        <v>3</v>
      </c>
      <c r="H1125" s="1" t="s">
        <v>46</v>
      </c>
      <c r="I1125">
        <v>18.5</v>
      </c>
      <c r="J1125">
        <v>22</v>
      </c>
      <c r="K1125" s="1" t="s">
        <v>47</v>
      </c>
      <c r="L1125" s="1" t="s">
        <v>26</v>
      </c>
      <c r="M1125">
        <v>0</v>
      </c>
      <c r="N1125">
        <v>0</v>
      </c>
      <c r="O1125" s="1" t="s">
        <v>27</v>
      </c>
      <c r="P1125">
        <v>1</v>
      </c>
      <c r="Q1125">
        <v>1</v>
      </c>
      <c r="R1125">
        <v>2</v>
      </c>
      <c r="S1125">
        <v>9</v>
      </c>
      <c r="T1125">
        <v>1</v>
      </c>
      <c r="U1125">
        <v>0</v>
      </c>
      <c r="V1125">
        <v>3.19</v>
      </c>
    </row>
    <row r="1126" spans="1:22">
      <c r="A1126" s="1" t="s">
        <v>1172</v>
      </c>
      <c r="B1126" s="1" t="s">
        <v>59</v>
      </c>
      <c r="C1126" s="2">
        <v>46275</v>
      </c>
      <c r="D1126" s="3">
        <v>0.3125</v>
      </c>
      <c r="E1126">
        <v>113</v>
      </c>
      <c r="F1126">
        <v>114</v>
      </c>
      <c r="G1126">
        <v>5</v>
      </c>
      <c r="H1126" s="1" t="s">
        <v>60</v>
      </c>
      <c r="I1126">
        <v>24.8</v>
      </c>
      <c r="J1126">
        <v>28</v>
      </c>
      <c r="K1126" s="1" t="s">
        <v>61</v>
      </c>
      <c r="L1126" s="1" t="s">
        <v>56</v>
      </c>
      <c r="M1126">
        <v>0</v>
      </c>
      <c r="N1126">
        <v>0</v>
      </c>
      <c r="O1126" s="1" t="s">
        <v>27</v>
      </c>
      <c r="P1126">
        <v>1</v>
      </c>
      <c r="Q1126">
        <v>1</v>
      </c>
      <c r="R1126">
        <v>14</v>
      </c>
      <c r="S1126">
        <v>7</v>
      </c>
      <c r="T1126">
        <v>0</v>
      </c>
      <c r="U1126">
        <v>0</v>
      </c>
      <c r="V1126">
        <v>4.5599999999999996</v>
      </c>
    </row>
    <row r="1127" spans="1:22">
      <c r="A1127" s="1" t="s">
        <v>1173</v>
      </c>
      <c r="B1127" s="1" t="s">
        <v>29</v>
      </c>
      <c r="C1127" s="2">
        <v>46273</v>
      </c>
      <c r="D1127" s="3">
        <v>0.52083333333333337</v>
      </c>
      <c r="E1127">
        <v>99</v>
      </c>
      <c r="F1127">
        <v>90</v>
      </c>
      <c r="G1127">
        <v>5</v>
      </c>
      <c r="H1127" s="1" t="s">
        <v>30</v>
      </c>
      <c r="I1127">
        <v>32</v>
      </c>
      <c r="J1127">
        <v>14</v>
      </c>
      <c r="K1127" s="1" t="s">
        <v>31</v>
      </c>
      <c r="L1127" s="1" t="s">
        <v>26</v>
      </c>
      <c r="M1127">
        <v>0</v>
      </c>
      <c r="N1127">
        <v>0</v>
      </c>
      <c r="O1127" s="1" t="s">
        <v>27</v>
      </c>
      <c r="P1127">
        <v>1</v>
      </c>
      <c r="Q1127">
        <v>1</v>
      </c>
      <c r="R1127">
        <v>17</v>
      </c>
      <c r="S1127">
        <v>12</v>
      </c>
      <c r="T1127">
        <v>0</v>
      </c>
      <c r="U1127">
        <v>0</v>
      </c>
      <c r="V1127">
        <v>3.09</v>
      </c>
    </row>
    <row r="1128" spans="1:22">
      <c r="A1128" s="1" t="s">
        <v>1174</v>
      </c>
      <c r="B1128" s="1" t="s">
        <v>45</v>
      </c>
      <c r="C1128" s="2">
        <v>46283</v>
      </c>
      <c r="D1128" s="3">
        <v>0.34375</v>
      </c>
      <c r="E1128">
        <v>152</v>
      </c>
      <c r="F1128">
        <v>147</v>
      </c>
      <c r="G1128">
        <v>6</v>
      </c>
      <c r="H1128" s="1" t="s">
        <v>46</v>
      </c>
      <c r="I1128">
        <v>18.5</v>
      </c>
      <c r="J1128">
        <v>22</v>
      </c>
      <c r="K1128" s="1" t="s">
        <v>47</v>
      </c>
      <c r="L1128" s="1" t="s">
        <v>49</v>
      </c>
      <c r="M1128">
        <v>0</v>
      </c>
      <c r="N1128">
        <v>0</v>
      </c>
      <c r="O1128" s="1" t="s">
        <v>27</v>
      </c>
      <c r="P1128">
        <v>1</v>
      </c>
      <c r="Q1128">
        <v>1</v>
      </c>
      <c r="R1128">
        <v>4</v>
      </c>
      <c r="S1128">
        <v>8</v>
      </c>
      <c r="T1128">
        <v>1</v>
      </c>
      <c r="U1128">
        <v>0</v>
      </c>
      <c r="V1128">
        <v>8.2200000000000006</v>
      </c>
    </row>
    <row r="1129" spans="1:22">
      <c r="A1129" s="1" t="s">
        <v>1175</v>
      </c>
      <c r="B1129" s="1" t="s">
        <v>45</v>
      </c>
      <c r="C1129" s="2">
        <v>46293</v>
      </c>
      <c r="D1129" s="3">
        <v>0.61458333333333337</v>
      </c>
      <c r="E1129">
        <v>98</v>
      </c>
      <c r="F1129">
        <v>90</v>
      </c>
      <c r="G1129">
        <v>4</v>
      </c>
      <c r="H1129" s="1" t="s">
        <v>46</v>
      </c>
      <c r="I1129">
        <v>18.5</v>
      </c>
      <c r="J1129">
        <v>22</v>
      </c>
      <c r="K1129" s="1" t="s">
        <v>47</v>
      </c>
      <c r="L1129" s="1" t="s">
        <v>65</v>
      </c>
      <c r="M1129">
        <v>0</v>
      </c>
      <c r="N1129">
        <v>0</v>
      </c>
      <c r="O1129" s="1" t="s">
        <v>27</v>
      </c>
      <c r="P1129">
        <v>1</v>
      </c>
      <c r="Q1129">
        <v>1</v>
      </c>
      <c r="R1129">
        <v>1</v>
      </c>
      <c r="S1129">
        <v>14</v>
      </c>
      <c r="T1129">
        <v>0</v>
      </c>
      <c r="U1129">
        <v>0</v>
      </c>
      <c r="V1129">
        <v>5.3</v>
      </c>
    </row>
    <row r="1130" spans="1:22">
      <c r="A1130" s="1" t="s">
        <v>1176</v>
      </c>
      <c r="B1130" s="1" t="s">
        <v>34</v>
      </c>
      <c r="C1130" s="2">
        <v>46266</v>
      </c>
      <c r="D1130" s="3">
        <v>0.30208333333333331</v>
      </c>
      <c r="E1130">
        <v>145</v>
      </c>
      <c r="F1130">
        <v>138</v>
      </c>
      <c r="G1130">
        <v>7</v>
      </c>
      <c r="H1130" s="1" t="s">
        <v>35</v>
      </c>
      <c r="I1130">
        <v>12.2</v>
      </c>
      <c r="J1130">
        <v>18</v>
      </c>
      <c r="K1130" s="1" t="s">
        <v>36</v>
      </c>
      <c r="L1130" s="1" t="s">
        <v>26</v>
      </c>
      <c r="M1130">
        <v>0</v>
      </c>
      <c r="N1130">
        <v>0</v>
      </c>
      <c r="O1130" s="1" t="s">
        <v>27</v>
      </c>
      <c r="P1130">
        <v>1</v>
      </c>
      <c r="Q1130">
        <v>1</v>
      </c>
      <c r="R1130">
        <v>4</v>
      </c>
      <c r="S1130">
        <v>7</v>
      </c>
      <c r="T1130">
        <v>0</v>
      </c>
      <c r="U1130">
        <v>0</v>
      </c>
      <c r="V1130">
        <v>11.89</v>
      </c>
    </row>
    <row r="1131" spans="1:22">
      <c r="A1131" s="1" t="s">
        <v>1177</v>
      </c>
      <c r="B1131" s="1" t="s">
        <v>29</v>
      </c>
      <c r="C1131" s="2">
        <v>46267</v>
      </c>
      <c r="D1131" s="3">
        <v>0.89583333333333337</v>
      </c>
      <c r="E1131">
        <v>86</v>
      </c>
      <c r="F1131">
        <v>84</v>
      </c>
      <c r="G1131">
        <v>4</v>
      </c>
      <c r="H1131" s="1" t="s">
        <v>30</v>
      </c>
      <c r="I1131">
        <v>32</v>
      </c>
      <c r="J1131">
        <v>14</v>
      </c>
      <c r="K1131" s="1" t="s">
        <v>31</v>
      </c>
      <c r="L1131" s="1" t="s">
        <v>69</v>
      </c>
      <c r="M1131">
        <v>0</v>
      </c>
      <c r="N1131">
        <v>0</v>
      </c>
      <c r="O1131" s="1" t="s">
        <v>27</v>
      </c>
      <c r="P1131">
        <v>1</v>
      </c>
      <c r="Q1131">
        <v>1</v>
      </c>
      <c r="R1131">
        <v>6</v>
      </c>
      <c r="S1131">
        <v>21</v>
      </c>
      <c r="T1131">
        <v>0</v>
      </c>
      <c r="U1131">
        <v>0</v>
      </c>
      <c r="V1131">
        <v>2.69</v>
      </c>
    </row>
    <row r="1132" spans="1:22">
      <c r="A1132" s="1" t="s">
        <v>1178</v>
      </c>
      <c r="B1132" s="1" t="s">
        <v>45</v>
      </c>
      <c r="C1132" s="2">
        <v>46266</v>
      </c>
      <c r="D1132" s="3">
        <v>0.70833333333333337</v>
      </c>
      <c r="E1132">
        <v>38</v>
      </c>
      <c r="F1132">
        <v>41</v>
      </c>
      <c r="G1132">
        <v>5</v>
      </c>
      <c r="H1132" s="1" t="s">
        <v>46</v>
      </c>
      <c r="I1132">
        <v>18.5</v>
      </c>
      <c r="J1132">
        <v>22</v>
      </c>
      <c r="K1132" s="1" t="s">
        <v>47</v>
      </c>
      <c r="L1132" s="1" t="s">
        <v>26</v>
      </c>
      <c r="M1132">
        <v>0</v>
      </c>
      <c r="N1132">
        <v>0</v>
      </c>
      <c r="O1132" s="1" t="s">
        <v>27</v>
      </c>
      <c r="P1132">
        <v>1</v>
      </c>
      <c r="Q1132">
        <v>1</v>
      </c>
      <c r="R1132">
        <v>0</v>
      </c>
      <c r="S1132">
        <v>17</v>
      </c>
      <c r="T1132">
        <v>1</v>
      </c>
      <c r="U1132">
        <v>0</v>
      </c>
      <c r="V1132">
        <v>2.0499999999999998</v>
      </c>
    </row>
    <row r="1133" spans="1:22">
      <c r="A1133" s="1" t="s">
        <v>1179</v>
      </c>
      <c r="B1133" s="1" t="s">
        <v>29</v>
      </c>
      <c r="C1133" s="2">
        <v>46266</v>
      </c>
      <c r="D1133" s="3">
        <v>0.54166666666666663</v>
      </c>
      <c r="E1133">
        <v>155</v>
      </c>
      <c r="F1133">
        <v>145</v>
      </c>
      <c r="G1133">
        <v>5</v>
      </c>
      <c r="H1133" s="1" t="s">
        <v>30</v>
      </c>
      <c r="I1133">
        <v>32</v>
      </c>
      <c r="J1133">
        <v>14</v>
      </c>
      <c r="K1133" s="1" t="s">
        <v>31</v>
      </c>
      <c r="L1133" s="1" t="s">
        <v>26</v>
      </c>
      <c r="M1133">
        <v>0</v>
      </c>
      <c r="N1133">
        <v>0</v>
      </c>
      <c r="O1133" s="1" t="s">
        <v>27</v>
      </c>
      <c r="P1133">
        <v>1</v>
      </c>
      <c r="Q1133">
        <v>1</v>
      </c>
      <c r="R1133">
        <v>4</v>
      </c>
      <c r="S1133">
        <v>13</v>
      </c>
      <c r="T1133">
        <v>0</v>
      </c>
      <c r="U1133">
        <v>0</v>
      </c>
      <c r="V1133">
        <v>4.84</v>
      </c>
    </row>
    <row r="1134" spans="1:22">
      <c r="A1134" s="1" t="s">
        <v>1180</v>
      </c>
      <c r="B1134" s="1" t="s">
        <v>45</v>
      </c>
      <c r="C1134" s="2">
        <v>46274</v>
      </c>
      <c r="D1134" s="3">
        <v>0.41666666666666669</v>
      </c>
      <c r="E1134">
        <v>98</v>
      </c>
      <c r="F1134">
        <v>93</v>
      </c>
      <c r="G1134">
        <v>4</v>
      </c>
      <c r="H1134" s="1" t="s">
        <v>46</v>
      </c>
      <c r="I1134">
        <v>18.5</v>
      </c>
      <c r="J1134">
        <v>22</v>
      </c>
      <c r="K1134" s="1" t="s">
        <v>47</v>
      </c>
      <c r="L1134" s="1" t="s">
        <v>69</v>
      </c>
      <c r="M1134">
        <v>0</v>
      </c>
      <c r="N1134">
        <v>0</v>
      </c>
      <c r="O1134" s="1" t="s">
        <v>27</v>
      </c>
      <c r="P1134">
        <v>1</v>
      </c>
      <c r="Q1134">
        <v>1</v>
      </c>
      <c r="R1134">
        <v>4</v>
      </c>
      <c r="S1134">
        <v>10</v>
      </c>
      <c r="T1134">
        <v>1</v>
      </c>
      <c r="U1134">
        <v>0</v>
      </c>
      <c r="V1134">
        <v>5.3</v>
      </c>
    </row>
    <row r="1135" spans="1:22">
      <c r="A1135" s="1" t="s">
        <v>1181</v>
      </c>
      <c r="B1135" s="1" t="s">
        <v>29</v>
      </c>
      <c r="C1135" s="2">
        <v>46278</v>
      </c>
      <c r="D1135" s="3">
        <v>0.61458333333333337</v>
      </c>
      <c r="E1135">
        <v>58</v>
      </c>
      <c r="F1135">
        <v>50</v>
      </c>
      <c r="G1135">
        <v>3</v>
      </c>
      <c r="H1135" s="1" t="s">
        <v>30</v>
      </c>
      <c r="I1135">
        <v>32</v>
      </c>
      <c r="J1135">
        <v>14</v>
      </c>
      <c r="K1135" s="1" t="s">
        <v>31</v>
      </c>
      <c r="L1135" s="1" t="s">
        <v>38</v>
      </c>
      <c r="M1135">
        <v>1</v>
      </c>
      <c r="N1135">
        <v>0</v>
      </c>
      <c r="O1135" s="1" t="s">
        <v>27</v>
      </c>
      <c r="P1135">
        <v>1</v>
      </c>
      <c r="Q1135">
        <v>1</v>
      </c>
      <c r="R1135">
        <v>7</v>
      </c>
      <c r="S1135">
        <v>14</v>
      </c>
      <c r="T1135">
        <v>0</v>
      </c>
      <c r="U1135">
        <v>0</v>
      </c>
      <c r="V1135">
        <v>1.81</v>
      </c>
    </row>
    <row r="1136" spans="1:22">
      <c r="A1136" s="1" t="s">
        <v>1182</v>
      </c>
      <c r="B1136" s="1" t="s">
        <v>45</v>
      </c>
      <c r="C1136" s="2">
        <v>46295</v>
      </c>
      <c r="D1136" s="3">
        <v>0.47916666666666669</v>
      </c>
      <c r="E1136">
        <v>58</v>
      </c>
      <c r="F1136">
        <v>60</v>
      </c>
      <c r="G1136">
        <v>4</v>
      </c>
      <c r="H1136" s="1" t="s">
        <v>46</v>
      </c>
      <c r="I1136">
        <v>18.5</v>
      </c>
      <c r="J1136">
        <v>22</v>
      </c>
      <c r="K1136" s="1" t="s">
        <v>47</v>
      </c>
      <c r="L1136" s="1" t="s">
        <v>69</v>
      </c>
      <c r="M1136">
        <v>0</v>
      </c>
      <c r="N1136">
        <v>0</v>
      </c>
      <c r="O1136" s="1" t="s">
        <v>27</v>
      </c>
      <c r="P1136">
        <v>1</v>
      </c>
      <c r="Q1136">
        <v>1</v>
      </c>
      <c r="R1136">
        <v>7</v>
      </c>
      <c r="S1136">
        <v>11</v>
      </c>
      <c r="T1136">
        <v>0</v>
      </c>
      <c r="U1136">
        <v>0</v>
      </c>
      <c r="V1136">
        <v>3.14</v>
      </c>
    </row>
    <row r="1137" spans="1:22">
      <c r="A1137" s="1" t="s">
        <v>1183</v>
      </c>
      <c r="B1137" s="1" t="s">
        <v>34</v>
      </c>
      <c r="C1137" s="2">
        <v>46266</v>
      </c>
      <c r="D1137" s="3">
        <v>0.41666666666666669</v>
      </c>
      <c r="E1137">
        <v>68</v>
      </c>
      <c r="F1137">
        <v>72</v>
      </c>
      <c r="G1137">
        <v>3</v>
      </c>
      <c r="H1137" s="1" t="s">
        <v>35</v>
      </c>
      <c r="I1137">
        <v>12.2</v>
      </c>
      <c r="J1137">
        <v>18</v>
      </c>
      <c r="K1137" s="1" t="s">
        <v>36</v>
      </c>
      <c r="L1137" s="1" t="s">
        <v>26</v>
      </c>
      <c r="M1137">
        <v>0</v>
      </c>
      <c r="N1137">
        <v>0</v>
      </c>
      <c r="O1137" s="1" t="s">
        <v>27</v>
      </c>
      <c r="P1137">
        <v>1</v>
      </c>
      <c r="Q1137">
        <v>1</v>
      </c>
      <c r="R1137">
        <v>6</v>
      </c>
      <c r="S1137">
        <v>10</v>
      </c>
      <c r="T1137">
        <v>1</v>
      </c>
      <c r="U1137">
        <v>0</v>
      </c>
      <c r="V1137">
        <v>5.57</v>
      </c>
    </row>
    <row r="1138" spans="1:22">
      <c r="A1138" s="1" t="s">
        <v>1184</v>
      </c>
      <c r="B1138" s="1" t="s">
        <v>45</v>
      </c>
      <c r="C1138" s="2">
        <v>46278</v>
      </c>
      <c r="D1138" s="3">
        <v>0.32291666666666669</v>
      </c>
      <c r="E1138">
        <v>123</v>
      </c>
      <c r="F1138">
        <v>116</v>
      </c>
      <c r="G1138">
        <v>5</v>
      </c>
      <c r="H1138" s="1" t="s">
        <v>46</v>
      </c>
      <c r="I1138">
        <v>18.5</v>
      </c>
      <c r="J1138">
        <v>22</v>
      </c>
      <c r="K1138" s="1" t="s">
        <v>47</v>
      </c>
      <c r="L1138" s="1" t="s">
        <v>38</v>
      </c>
      <c r="M1138">
        <v>1</v>
      </c>
      <c r="N1138">
        <v>0</v>
      </c>
      <c r="O1138" s="1" t="s">
        <v>27</v>
      </c>
      <c r="P1138">
        <v>1</v>
      </c>
      <c r="Q1138">
        <v>1</v>
      </c>
      <c r="R1138">
        <v>1</v>
      </c>
      <c r="S1138">
        <v>7</v>
      </c>
      <c r="T1138">
        <v>0</v>
      </c>
      <c r="U1138">
        <v>0</v>
      </c>
      <c r="V1138">
        <v>6.65</v>
      </c>
    </row>
    <row r="1139" spans="1:22">
      <c r="A1139" s="1" t="s">
        <v>1185</v>
      </c>
      <c r="B1139" s="1" t="s">
        <v>23</v>
      </c>
      <c r="C1139" s="2">
        <v>46285</v>
      </c>
      <c r="D1139" s="3">
        <v>0.82291666666666663</v>
      </c>
      <c r="E1139">
        <v>114</v>
      </c>
      <c r="F1139">
        <v>118</v>
      </c>
      <c r="G1139">
        <v>6</v>
      </c>
      <c r="H1139" s="1" t="s">
        <v>24</v>
      </c>
      <c r="I1139">
        <v>15</v>
      </c>
      <c r="J1139">
        <v>16</v>
      </c>
      <c r="K1139" s="1" t="s">
        <v>25</v>
      </c>
      <c r="L1139" s="1" t="s">
        <v>38</v>
      </c>
      <c r="M1139">
        <v>1</v>
      </c>
      <c r="N1139">
        <v>0</v>
      </c>
      <c r="O1139" s="1" t="s">
        <v>52</v>
      </c>
      <c r="P1139">
        <v>1</v>
      </c>
      <c r="Q1139">
        <v>1</v>
      </c>
      <c r="R1139">
        <v>0</v>
      </c>
      <c r="S1139">
        <v>19</v>
      </c>
      <c r="T1139">
        <v>1</v>
      </c>
      <c r="U1139">
        <v>1</v>
      </c>
      <c r="V1139">
        <v>7.6</v>
      </c>
    </row>
    <row r="1140" spans="1:22">
      <c r="A1140" s="1" t="s">
        <v>1186</v>
      </c>
      <c r="B1140" s="1" t="s">
        <v>29</v>
      </c>
      <c r="C1140" s="2">
        <v>46291</v>
      </c>
      <c r="D1140" s="3">
        <v>0.67708333333333337</v>
      </c>
      <c r="E1140">
        <v>61</v>
      </c>
      <c r="F1140">
        <v>58</v>
      </c>
      <c r="G1140">
        <v>4</v>
      </c>
      <c r="H1140" s="1" t="s">
        <v>30</v>
      </c>
      <c r="I1140">
        <v>32</v>
      </c>
      <c r="J1140">
        <v>14</v>
      </c>
      <c r="K1140" s="1" t="s">
        <v>31</v>
      </c>
      <c r="L1140" s="1" t="s">
        <v>32</v>
      </c>
      <c r="M1140">
        <v>1</v>
      </c>
      <c r="N1140">
        <v>0</v>
      </c>
      <c r="O1140" s="1" t="s">
        <v>27</v>
      </c>
      <c r="P1140">
        <v>1</v>
      </c>
      <c r="Q1140">
        <v>1</v>
      </c>
      <c r="R1140">
        <v>6</v>
      </c>
      <c r="S1140">
        <v>16</v>
      </c>
      <c r="T1140">
        <v>0</v>
      </c>
      <c r="U1140">
        <v>0</v>
      </c>
      <c r="V1140">
        <v>1.91</v>
      </c>
    </row>
    <row r="1141" spans="1:22">
      <c r="A1141" s="1" t="s">
        <v>1187</v>
      </c>
      <c r="B1141" s="1" t="s">
        <v>23</v>
      </c>
      <c r="C1141" s="2">
        <v>46287</v>
      </c>
      <c r="D1141" s="3">
        <v>0.35416666666666669</v>
      </c>
      <c r="E1141">
        <v>201</v>
      </c>
      <c r="F1141">
        <v>193</v>
      </c>
      <c r="G1141">
        <v>6</v>
      </c>
      <c r="H1141" s="1" t="s">
        <v>24</v>
      </c>
      <c r="I1141">
        <v>15</v>
      </c>
      <c r="J1141">
        <v>16</v>
      </c>
      <c r="K1141" s="1" t="s">
        <v>25</v>
      </c>
      <c r="L1141" s="1" t="s">
        <v>26</v>
      </c>
      <c r="M1141">
        <v>0</v>
      </c>
      <c r="N1141">
        <v>0</v>
      </c>
      <c r="O1141" s="1" t="s">
        <v>27</v>
      </c>
      <c r="P1141">
        <v>1</v>
      </c>
      <c r="Q1141">
        <v>1</v>
      </c>
      <c r="R1141">
        <v>4</v>
      </c>
      <c r="S1141">
        <v>8</v>
      </c>
      <c r="T1141">
        <v>1</v>
      </c>
      <c r="U1141">
        <v>0</v>
      </c>
      <c r="V1141">
        <v>13.4</v>
      </c>
    </row>
    <row r="1142" spans="1:22">
      <c r="A1142" s="1" t="s">
        <v>1188</v>
      </c>
      <c r="B1142" s="1" t="s">
        <v>59</v>
      </c>
      <c r="C1142" s="2">
        <v>46272</v>
      </c>
      <c r="D1142" s="3">
        <v>0.54166666666666663</v>
      </c>
      <c r="E1142">
        <v>116</v>
      </c>
      <c r="F1142">
        <v>114</v>
      </c>
      <c r="G1142">
        <v>3</v>
      </c>
      <c r="H1142" s="1" t="s">
        <v>60</v>
      </c>
      <c r="I1142">
        <v>24.8</v>
      </c>
      <c r="J1142">
        <v>28</v>
      </c>
      <c r="K1142" s="1" t="s">
        <v>61</v>
      </c>
      <c r="L1142" s="1" t="s">
        <v>65</v>
      </c>
      <c r="M1142">
        <v>0</v>
      </c>
      <c r="N1142">
        <v>0</v>
      </c>
      <c r="O1142" s="1" t="s">
        <v>27</v>
      </c>
      <c r="P1142">
        <v>1</v>
      </c>
      <c r="Q1142">
        <v>1</v>
      </c>
      <c r="R1142">
        <v>1</v>
      </c>
      <c r="S1142">
        <v>13</v>
      </c>
      <c r="T1142">
        <v>0</v>
      </c>
      <c r="U1142">
        <v>0</v>
      </c>
      <c r="V1142">
        <v>4.68</v>
      </c>
    </row>
    <row r="1143" spans="1:22">
      <c r="A1143" s="1" t="s">
        <v>1189</v>
      </c>
      <c r="B1143" s="1" t="s">
        <v>45</v>
      </c>
      <c r="C1143" s="2">
        <v>46267</v>
      </c>
      <c r="D1143" s="3">
        <v>0.72916666666666663</v>
      </c>
      <c r="E1143">
        <v>159</v>
      </c>
      <c r="F1143">
        <v>141</v>
      </c>
      <c r="G1143">
        <v>4</v>
      </c>
      <c r="H1143" s="1" t="s">
        <v>46</v>
      </c>
      <c r="I1143">
        <v>18.5</v>
      </c>
      <c r="J1143">
        <v>22</v>
      </c>
      <c r="K1143" s="1" t="s">
        <v>47</v>
      </c>
      <c r="L1143" s="1" t="s">
        <v>69</v>
      </c>
      <c r="M1143">
        <v>0</v>
      </c>
      <c r="N1143">
        <v>0</v>
      </c>
      <c r="O1143" s="1" t="s">
        <v>27</v>
      </c>
      <c r="P1143">
        <v>1</v>
      </c>
      <c r="Q1143">
        <v>1</v>
      </c>
      <c r="R1143">
        <v>0</v>
      </c>
      <c r="S1143">
        <v>17</v>
      </c>
      <c r="T1143">
        <v>1</v>
      </c>
      <c r="U1143">
        <v>0</v>
      </c>
      <c r="V1143">
        <v>8.59</v>
      </c>
    </row>
    <row r="1144" spans="1:22">
      <c r="A1144" s="1" t="s">
        <v>1190</v>
      </c>
      <c r="B1144" s="1" t="s">
        <v>23</v>
      </c>
      <c r="C1144" s="2">
        <v>46271</v>
      </c>
      <c r="D1144" s="3">
        <v>0.92708333333333337</v>
      </c>
      <c r="E1144">
        <v>79</v>
      </c>
      <c r="F1144">
        <v>76</v>
      </c>
      <c r="G1144">
        <v>4</v>
      </c>
      <c r="H1144" s="1" t="s">
        <v>24</v>
      </c>
      <c r="I1144">
        <v>15</v>
      </c>
      <c r="J1144">
        <v>16</v>
      </c>
      <c r="K1144" s="1" t="s">
        <v>25</v>
      </c>
      <c r="L1144" s="1" t="s">
        <v>38</v>
      </c>
      <c r="M1144">
        <v>1</v>
      </c>
      <c r="N1144">
        <v>0</v>
      </c>
      <c r="O1144" s="1" t="s">
        <v>27</v>
      </c>
      <c r="P1144">
        <v>1</v>
      </c>
      <c r="Q1144">
        <v>1</v>
      </c>
      <c r="R1144">
        <v>10</v>
      </c>
      <c r="S1144">
        <v>22</v>
      </c>
      <c r="T1144">
        <v>0</v>
      </c>
      <c r="U1144">
        <v>0</v>
      </c>
      <c r="V1144">
        <v>5.27</v>
      </c>
    </row>
    <row r="1145" spans="1:22">
      <c r="A1145" s="1" t="s">
        <v>1191</v>
      </c>
      <c r="B1145" s="1" t="s">
        <v>45</v>
      </c>
      <c r="C1145" s="2">
        <v>46272</v>
      </c>
      <c r="D1145" s="3">
        <v>0.375</v>
      </c>
      <c r="E1145">
        <v>115</v>
      </c>
      <c r="F1145">
        <v>109</v>
      </c>
      <c r="G1145">
        <v>5</v>
      </c>
      <c r="H1145" s="1" t="s">
        <v>46</v>
      </c>
      <c r="I1145">
        <v>18.5</v>
      </c>
      <c r="J1145">
        <v>22</v>
      </c>
      <c r="K1145" s="1" t="s">
        <v>47</v>
      </c>
      <c r="L1145" s="1" t="s">
        <v>65</v>
      </c>
      <c r="M1145">
        <v>0</v>
      </c>
      <c r="N1145">
        <v>0</v>
      </c>
      <c r="O1145" s="1" t="s">
        <v>27</v>
      </c>
      <c r="P1145">
        <v>1</v>
      </c>
      <c r="Q1145">
        <v>1</v>
      </c>
      <c r="R1145">
        <v>17</v>
      </c>
      <c r="S1145">
        <v>9</v>
      </c>
      <c r="T1145">
        <v>1</v>
      </c>
      <c r="U1145">
        <v>0</v>
      </c>
      <c r="V1145">
        <v>6.22</v>
      </c>
    </row>
    <row r="1146" spans="1:22">
      <c r="A1146" s="1" t="s">
        <v>1192</v>
      </c>
      <c r="B1146" s="1" t="s">
        <v>29</v>
      </c>
      <c r="C1146" s="2">
        <v>46291</v>
      </c>
      <c r="D1146" s="3">
        <v>0.85416666666666663</v>
      </c>
      <c r="E1146">
        <v>178</v>
      </c>
      <c r="F1146">
        <v>178</v>
      </c>
      <c r="G1146">
        <v>7</v>
      </c>
      <c r="H1146" s="1" t="s">
        <v>30</v>
      </c>
      <c r="I1146">
        <v>32</v>
      </c>
      <c r="J1146">
        <v>14</v>
      </c>
      <c r="K1146" s="1" t="s">
        <v>31</v>
      </c>
      <c r="L1146" s="1" t="s">
        <v>32</v>
      </c>
      <c r="M1146">
        <v>1</v>
      </c>
      <c r="N1146">
        <v>0</v>
      </c>
      <c r="O1146" s="1" t="s">
        <v>27</v>
      </c>
      <c r="P1146">
        <v>1</v>
      </c>
      <c r="Q1146">
        <v>1</v>
      </c>
      <c r="R1146">
        <v>4</v>
      </c>
      <c r="S1146">
        <v>20</v>
      </c>
      <c r="T1146">
        <v>0</v>
      </c>
      <c r="U1146">
        <v>0</v>
      </c>
      <c r="V1146">
        <v>5.56</v>
      </c>
    </row>
    <row r="1147" spans="1:22">
      <c r="A1147" s="1" t="s">
        <v>1193</v>
      </c>
      <c r="B1147" s="1" t="s">
        <v>29</v>
      </c>
      <c r="C1147" s="2">
        <v>46279</v>
      </c>
      <c r="D1147" s="3">
        <v>0.75</v>
      </c>
      <c r="E1147">
        <v>64</v>
      </c>
      <c r="F1147">
        <v>63</v>
      </c>
      <c r="G1147">
        <v>2</v>
      </c>
      <c r="H1147" s="1" t="s">
        <v>30</v>
      </c>
      <c r="I1147">
        <v>32</v>
      </c>
      <c r="J1147">
        <v>14</v>
      </c>
      <c r="K1147" s="1" t="s">
        <v>31</v>
      </c>
      <c r="L1147" s="1" t="s">
        <v>65</v>
      </c>
      <c r="M1147">
        <v>0</v>
      </c>
      <c r="N1147">
        <v>0</v>
      </c>
      <c r="O1147" s="1" t="s">
        <v>27</v>
      </c>
      <c r="P1147">
        <v>1</v>
      </c>
      <c r="Q1147">
        <v>1</v>
      </c>
      <c r="R1147">
        <v>7</v>
      </c>
      <c r="S1147">
        <v>18</v>
      </c>
      <c r="T1147">
        <v>1</v>
      </c>
      <c r="U1147">
        <v>0</v>
      </c>
      <c r="V1147">
        <v>2</v>
      </c>
    </row>
    <row r="1148" spans="1:22">
      <c r="A1148" s="1" t="s">
        <v>1194</v>
      </c>
      <c r="B1148" s="1" t="s">
        <v>45</v>
      </c>
      <c r="C1148" s="2">
        <v>46291</v>
      </c>
      <c r="D1148" s="3">
        <v>0.85416666666666663</v>
      </c>
      <c r="E1148">
        <v>55</v>
      </c>
      <c r="F1148">
        <v>57</v>
      </c>
      <c r="G1148">
        <v>4</v>
      </c>
      <c r="H1148" s="1" t="s">
        <v>46</v>
      </c>
      <c r="I1148">
        <v>18.5</v>
      </c>
      <c r="J1148">
        <v>22</v>
      </c>
      <c r="K1148" s="1" t="s">
        <v>47</v>
      </c>
      <c r="L1148" s="1" t="s">
        <v>32</v>
      </c>
      <c r="M1148">
        <v>1</v>
      </c>
      <c r="N1148">
        <v>0</v>
      </c>
      <c r="O1148" s="1" t="s">
        <v>27</v>
      </c>
      <c r="P1148">
        <v>1</v>
      </c>
      <c r="Q1148">
        <v>1</v>
      </c>
      <c r="R1148">
        <v>7</v>
      </c>
      <c r="S1148">
        <v>20</v>
      </c>
      <c r="T1148">
        <v>0</v>
      </c>
      <c r="U1148">
        <v>0</v>
      </c>
      <c r="V1148">
        <v>2.97</v>
      </c>
    </row>
    <row r="1149" spans="1:22">
      <c r="A1149" s="1" t="s">
        <v>1195</v>
      </c>
      <c r="B1149" s="1" t="s">
        <v>45</v>
      </c>
      <c r="C1149" s="2">
        <v>46283</v>
      </c>
      <c r="D1149" s="3">
        <v>0.80208333333333337</v>
      </c>
      <c r="E1149">
        <v>178</v>
      </c>
      <c r="F1149">
        <v>178</v>
      </c>
      <c r="G1149">
        <v>6</v>
      </c>
      <c r="H1149" s="1" t="s">
        <v>46</v>
      </c>
      <c r="I1149">
        <v>18.5</v>
      </c>
      <c r="J1149">
        <v>22</v>
      </c>
      <c r="K1149" s="1" t="s">
        <v>47</v>
      </c>
      <c r="L1149" s="1" t="s">
        <v>49</v>
      </c>
      <c r="M1149">
        <v>0</v>
      </c>
      <c r="N1149">
        <v>0</v>
      </c>
      <c r="O1149" s="1" t="s">
        <v>27</v>
      </c>
      <c r="P1149">
        <v>1</v>
      </c>
      <c r="Q1149">
        <v>1</v>
      </c>
      <c r="R1149">
        <v>3</v>
      </c>
      <c r="S1149">
        <v>19</v>
      </c>
      <c r="T1149">
        <v>1</v>
      </c>
      <c r="U1149">
        <v>0</v>
      </c>
      <c r="V1149">
        <v>9.6199999999999992</v>
      </c>
    </row>
    <row r="1150" spans="1:22">
      <c r="A1150" s="1" t="s">
        <v>1196</v>
      </c>
      <c r="B1150" s="1" t="s">
        <v>34</v>
      </c>
      <c r="C1150" s="2">
        <v>46280</v>
      </c>
      <c r="D1150" s="3">
        <v>0.35416666666666669</v>
      </c>
      <c r="E1150">
        <v>182</v>
      </c>
      <c r="F1150">
        <v>169</v>
      </c>
      <c r="G1150">
        <v>7</v>
      </c>
      <c r="H1150" s="1" t="s">
        <v>35</v>
      </c>
      <c r="I1150">
        <v>12.2</v>
      </c>
      <c r="J1150">
        <v>18</v>
      </c>
      <c r="K1150" s="1" t="s">
        <v>36</v>
      </c>
      <c r="L1150" s="1" t="s">
        <v>26</v>
      </c>
      <c r="M1150">
        <v>0</v>
      </c>
      <c r="N1150">
        <v>0</v>
      </c>
      <c r="O1150" s="1" t="s">
        <v>27</v>
      </c>
      <c r="P1150">
        <v>1</v>
      </c>
      <c r="Q1150">
        <v>1</v>
      </c>
      <c r="R1150">
        <v>3</v>
      </c>
      <c r="S1150">
        <v>8</v>
      </c>
      <c r="T1150">
        <v>1</v>
      </c>
      <c r="U1150">
        <v>0</v>
      </c>
      <c r="V1150">
        <v>14.92</v>
      </c>
    </row>
    <row r="1151" spans="1:22">
      <c r="A1151" s="1" t="s">
        <v>1197</v>
      </c>
      <c r="B1151" s="1" t="s">
        <v>59</v>
      </c>
      <c r="C1151" s="2">
        <v>46267</v>
      </c>
      <c r="D1151" s="3">
        <v>0.86458333333333337</v>
      </c>
      <c r="E1151">
        <v>180</v>
      </c>
      <c r="F1151">
        <v>169</v>
      </c>
      <c r="G1151">
        <v>7</v>
      </c>
      <c r="H1151" s="1" t="s">
        <v>60</v>
      </c>
      <c r="I1151">
        <v>24.8</v>
      </c>
      <c r="J1151">
        <v>28</v>
      </c>
      <c r="K1151" s="1" t="s">
        <v>61</v>
      </c>
      <c r="L1151" s="1" t="s">
        <v>69</v>
      </c>
      <c r="M1151">
        <v>0</v>
      </c>
      <c r="N1151">
        <v>0</v>
      </c>
      <c r="O1151" s="1" t="s">
        <v>27</v>
      </c>
      <c r="P1151">
        <v>1</v>
      </c>
      <c r="Q1151">
        <v>1</v>
      </c>
      <c r="R1151">
        <v>3</v>
      </c>
      <c r="S1151">
        <v>20</v>
      </c>
      <c r="T1151">
        <v>0</v>
      </c>
      <c r="U1151">
        <v>0</v>
      </c>
      <c r="V1151">
        <v>7.26</v>
      </c>
    </row>
    <row r="1152" spans="1:22">
      <c r="A1152" s="1" t="s">
        <v>1198</v>
      </c>
      <c r="B1152" s="1" t="s">
        <v>29</v>
      </c>
      <c r="C1152" s="2">
        <v>46275</v>
      </c>
      <c r="D1152" s="3">
        <v>0.5</v>
      </c>
      <c r="E1152">
        <v>164</v>
      </c>
      <c r="F1152">
        <v>156</v>
      </c>
      <c r="G1152">
        <v>6</v>
      </c>
      <c r="H1152" s="1" t="s">
        <v>30</v>
      </c>
      <c r="I1152">
        <v>32</v>
      </c>
      <c r="J1152">
        <v>14</v>
      </c>
      <c r="K1152" s="1" t="s">
        <v>31</v>
      </c>
      <c r="L1152" s="1" t="s">
        <v>56</v>
      </c>
      <c r="M1152">
        <v>0</v>
      </c>
      <c r="N1152">
        <v>0</v>
      </c>
      <c r="O1152" s="1" t="s">
        <v>27</v>
      </c>
      <c r="P1152">
        <v>1</v>
      </c>
      <c r="Q1152">
        <v>1</v>
      </c>
      <c r="R1152">
        <v>2</v>
      </c>
      <c r="S1152">
        <v>12</v>
      </c>
      <c r="T1152">
        <v>0</v>
      </c>
      <c r="U1152">
        <v>0</v>
      </c>
      <c r="V1152">
        <v>5.12</v>
      </c>
    </row>
    <row r="1153" spans="1:22">
      <c r="A1153" s="1" t="s">
        <v>1199</v>
      </c>
      <c r="B1153" s="1" t="s">
        <v>45</v>
      </c>
      <c r="C1153" s="2">
        <v>46288</v>
      </c>
      <c r="D1153" s="3">
        <v>0.85416666666666663</v>
      </c>
      <c r="E1153">
        <v>109</v>
      </c>
      <c r="F1153">
        <v>106</v>
      </c>
      <c r="G1153">
        <v>4</v>
      </c>
      <c r="H1153" s="1" t="s">
        <v>46</v>
      </c>
      <c r="I1153">
        <v>18.5</v>
      </c>
      <c r="J1153">
        <v>22</v>
      </c>
      <c r="K1153" s="1" t="s">
        <v>47</v>
      </c>
      <c r="L1153" s="1" t="s">
        <v>69</v>
      </c>
      <c r="M1153">
        <v>0</v>
      </c>
      <c r="N1153">
        <v>0</v>
      </c>
      <c r="O1153" s="1" t="s">
        <v>27</v>
      </c>
      <c r="P1153">
        <v>1</v>
      </c>
      <c r="Q1153">
        <v>1</v>
      </c>
      <c r="R1153">
        <v>5</v>
      </c>
      <c r="S1153">
        <v>20</v>
      </c>
      <c r="T1153">
        <v>0</v>
      </c>
      <c r="U1153">
        <v>0</v>
      </c>
      <c r="V1153">
        <v>5.89</v>
      </c>
    </row>
    <row r="1154" spans="1:22">
      <c r="A1154" s="1" t="s">
        <v>1200</v>
      </c>
      <c r="B1154" s="1" t="s">
        <v>45</v>
      </c>
      <c r="C1154" s="2">
        <v>46277</v>
      </c>
      <c r="D1154" s="3">
        <v>0.59375</v>
      </c>
      <c r="E1154">
        <v>26</v>
      </c>
      <c r="F1154">
        <v>23</v>
      </c>
      <c r="G1154">
        <v>3</v>
      </c>
      <c r="H1154" s="1" t="s">
        <v>46</v>
      </c>
      <c r="I1154">
        <v>18.5</v>
      </c>
      <c r="J1154">
        <v>22</v>
      </c>
      <c r="K1154" s="1" t="s">
        <v>47</v>
      </c>
      <c r="L1154" s="1" t="s">
        <v>32</v>
      </c>
      <c r="M1154">
        <v>1</v>
      </c>
      <c r="N1154">
        <v>0</v>
      </c>
      <c r="O1154" s="1" t="s">
        <v>40</v>
      </c>
      <c r="P1154">
        <v>1</v>
      </c>
      <c r="Q1154">
        <v>1</v>
      </c>
      <c r="R1154">
        <v>7</v>
      </c>
      <c r="S1154">
        <v>14</v>
      </c>
      <c r="T1154">
        <v>0</v>
      </c>
      <c r="U1154">
        <v>1</v>
      </c>
      <c r="V1154">
        <v>1.41</v>
      </c>
    </row>
    <row r="1155" spans="1:22">
      <c r="A1155" s="1" t="s">
        <v>1201</v>
      </c>
      <c r="B1155" s="1" t="s">
        <v>29</v>
      </c>
      <c r="C1155" s="2">
        <v>46282</v>
      </c>
      <c r="D1155" s="3">
        <v>0.27083333333333331</v>
      </c>
      <c r="E1155">
        <v>224</v>
      </c>
      <c r="F1155">
        <v>209</v>
      </c>
      <c r="G1155">
        <v>5</v>
      </c>
      <c r="H1155" s="1" t="s">
        <v>30</v>
      </c>
      <c r="I1155">
        <v>32</v>
      </c>
      <c r="J1155">
        <v>14</v>
      </c>
      <c r="K1155" s="1" t="s">
        <v>31</v>
      </c>
      <c r="L1155" s="1" t="s">
        <v>56</v>
      </c>
      <c r="M1155">
        <v>0</v>
      </c>
      <c r="N1155">
        <v>0</v>
      </c>
      <c r="O1155" s="1" t="s">
        <v>27</v>
      </c>
      <c r="P1155">
        <v>1</v>
      </c>
      <c r="Q1155">
        <v>1</v>
      </c>
      <c r="R1155">
        <v>4</v>
      </c>
      <c r="S1155">
        <v>6</v>
      </c>
      <c r="T1155">
        <v>0</v>
      </c>
      <c r="U1155">
        <v>0</v>
      </c>
      <c r="V1155">
        <v>7</v>
      </c>
    </row>
    <row r="1156" spans="1:22">
      <c r="A1156" s="1" t="s">
        <v>1202</v>
      </c>
      <c r="B1156" s="1" t="s">
        <v>29</v>
      </c>
      <c r="C1156" s="2">
        <v>46273</v>
      </c>
      <c r="D1156" s="3">
        <v>0.54166666666666663</v>
      </c>
      <c r="E1156">
        <v>125</v>
      </c>
      <c r="F1156">
        <v>114</v>
      </c>
      <c r="G1156">
        <v>5</v>
      </c>
      <c r="H1156" s="1" t="s">
        <v>30</v>
      </c>
      <c r="I1156">
        <v>32</v>
      </c>
      <c r="J1156">
        <v>14</v>
      </c>
      <c r="K1156" s="1" t="s">
        <v>31</v>
      </c>
      <c r="L1156" s="1" t="s">
        <v>26</v>
      </c>
      <c r="M1156">
        <v>0</v>
      </c>
      <c r="N1156">
        <v>0</v>
      </c>
      <c r="O1156" s="1" t="s">
        <v>27</v>
      </c>
      <c r="P1156">
        <v>1</v>
      </c>
      <c r="Q1156">
        <v>1</v>
      </c>
      <c r="R1156">
        <v>3</v>
      </c>
      <c r="S1156">
        <v>13</v>
      </c>
      <c r="T1156">
        <v>0</v>
      </c>
      <c r="U1156">
        <v>0</v>
      </c>
      <c r="V1156">
        <v>3.91</v>
      </c>
    </row>
    <row r="1157" spans="1:22">
      <c r="A1157" s="1" t="s">
        <v>1203</v>
      </c>
      <c r="B1157" s="1" t="s">
        <v>34</v>
      </c>
      <c r="C1157" s="2">
        <v>46276</v>
      </c>
      <c r="D1157" s="3">
        <v>0.65625</v>
      </c>
      <c r="E1157">
        <v>110</v>
      </c>
      <c r="F1157">
        <v>113</v>
      </c>
      <c r="G1157">
        <v>4</v>
      </c>
      <c r="H1157" s="1" t="s">
        <v>35</v>
      </c>
      <c r="I1157">
        <v>12.2</v>
      </c>
      <c r="J1157">
        <v>18</v>
      </c>
      <c r="K1157" s="1" t="s">
        <v>36</v>
      </c>
      <c r="L1157" s="1" t="s">
        <v>49</v>
      </c>
      <c r="M1157">
        <v>0</v>
      </c>
      <c r="N1157">
        <v>0</v>
      </c>
      <c r="O1157" s="1" t="s">
        <v>27</v>
      </c>
      <c r="P1157">
        <v>1</v>
      </c>
      <c r="Q1157">
        <v>1</v>
      </c>
      <c r="R1157">
        <v>4</v>
      </c>
      <c r="S1157">
        <v>15</v>
      </c>
      <c r="T1157">
        <v>0</v>
      </c>
      <c r="U1157">
        <v>0</v>
      </c>
      <c r="V1157">
        <v>9.02</v>
      </c>
    </row>
    <row r="1158" spans="1:22">
      <c r="A1158" s="1" t="s">
        <v>1204</v>
      </c>
      <c r="B1158" s="1" t="s">
        <v>59</v>
      </c>
      <c r="C1158" s="2">
        <v>46294</v>
      </c>
      <c r="D1158" s="3">
        <v>0.59375</v>
      </c>
      <c r="E1158">
        <v>115</v>
      </c>
      <c r="F1158">
        <v>122</v>
      </c>
      <c r="G1158">
        <v>3</v>
      </c>
      <c r="H1158" s="1" t="s">
        <v>60</v>
      </c>
      <c r="I1158">
        <v>24.8</v>
      </c>
      <c r="J1158">
        <v>28</v>
      </c>
      <c r="K1158" s="1" t="s">
        <v>61</v>
      </c>
      <c r="L1158" s="1" t="s">
        <v>26</v>
      </c>
      <c r="M1158">
        <v>0</v>
      </c>
      <c r="N1158">
        <v>0</v>
      </c>
      <c r="O1158" s="1" t="s">
        <v>27</v>
      </c>
      <c r="P1158">
        <v>1</v>
      </c>
      <c r="Q1158">
        <v>1</v>
      </c>
      <c r="R1158">
        <v>10</v>
      </c>
      <c r="S1158">
        <v>14</v>
      </c>
      <c r="T1158">
        <v>0</v>
      </c>
      <c r="U1158">
        <v>0</v>
      </c>
      <c r="V1158">
        <v>4.6399999999999997</v>
      </c>
    </row>
    <row r="1159" spans="1:22">
      <c r="A1159" s="1" t="s">
        <v>1205</v>
      </c>
      <c r="B1159" s="1" t="s">
        <v>34</v>
      </c>
      <c r="C1159" s="2">
        <v>46268</v>
      </c>
      <c r="D1159" s="3">
        <v>0.90625</v>
      </c>
      <c r="E1159">
        <v>114</v>
      </c>
      <c r="F1159">
        <v>120</v>
      </c>
      <c r="G1159">
        <v>6</v>
      </c>
      <c r="H1159" s="1" t="s">
        <v>35</v>
      </c>
      <c r="I1159">
        <v>12.2</v>
      </c>
      <c r="J1159">
        <v>18</v>
      </c>
      <c r="K1159" s="1" t="s">
        <v>36</v>
      </c>
      <c r="L1159" s="1" t="s">
        <v>56</v>
      </c>
      <c r="M1159">
        <v>0</v>
      </c>
      <c r="N1159">
        <v>0</v>
      </c>
      <c r="O1159" s="1" t="s">
        <v>27</v>
      </c>
      <c r="P1159">
        <v>1</v>
      </c>
      <c r="Q1159">
        <v>1</v>
      </c>
      <c r="R1159">
        <v>4</v>
      </c>
      <c r="S1159">
        <v>21</v>
      </c>
      <c r="T1159">
        <v>0</v>
      </c>
      <c r="U1159">
        <v>0</v>
      </c>
      <c r="V1159">
        <v>9.34</v>
      </c>
    </row>
    <row r="1160" spans="1:22">
      <c r="A1160" s="1" t="s">
        <v>1206</v>
      </c>
      <c r="B1160" s="1" t="s">
        <v>45</v>
      </c>
      <c r="C1160" s="2">
        <v>46292</v>
      </c>
      <c r="D1160" s="3">
        <v>0.86458333333333337</v>
      </c>
      <c r="E1160">
        <v>60</v>
      </c>
      <c r="F1160">
        <v>65</v>
      </c>
      <c r="G1160">
        <v>3</v>
      </c>
      <c r="H1160" s="1" t="s">
        <v>46</v>
      </c>
      <c r="I1160">
        <v>18.5</v>
      </c>
      <c r="J1160">
        <v>22</v>
      </c>
      <c r="K1160" s="1" t="s">
        <v>47</v>
      </c>
      <c r="L1160" s="1" t="s">
        <v>38</v>
      </c>
      <c r="M1160">
        <v>1</v>
      </c>
      <c r="N1160">
        <v>0</v>
      </c>
      <c r="O1160" s="1" t="s">
        <v>134</v>
      </c>
      <c r="P1160">
        <v>1</v>
      </c>
      <c r="Q1160">
        <v>1</v>
      </c>
      <c r="R1160">
        <v>0</v>
      </c>
      <c r="S1160">
        <v>20</v>
      </c>
      <c r="T1160">
        <v>0</v>
      </c>
      <c r="U1160">
        <v>1</v>
      </c>
      <c r="V1160">
        <v>3.24</v>
      </c>
    </row>
    <row r="1161" spans="1:22">
      <c r="A1161" s="1" t="s">
        <v>1207</v>
      </c>
      <c r="B1161" s="1" t="s">
        <v>45</v>
      </c>
      <c r="C1161" s="2">
        <v>46271</v>
      </c>
      <c r="D1161" s="3">
        <v>0.79166666666666663</v>
      </c>
      <c r="E1161">
        <v>172</v>
      </c>
      <c r="F1161">
        <v>160</v>
      </c>
      <c r="G1161">
        <v>6</v>
      </c>
      <c r="H1161" s="1" t="s">
        <v>46</v>
      </c>
      <c r="I1161">
        <v>18.5</v>
      </c>
      <c r="J1161">
        <v>22</v>
      </c>
      <c r="K1161" s="1" t="s">
        <v>47</v>
      </c>
      <c r="L1161" s="1" t="s">
        <v>38</v>
      </c>
      <c r="M1161">
        <v>1</v>
      </c>
      <c r="N1161">
        <v>0</v>
      </c>
      <c r="O1161" s="1" t="s">
        <v>27</v>
      </c>
      <c r="P1161">
        <v>1</v>
      </c>
      <c r="Q1161">
        <v>1</v>
      </c>
      <c r="R1161">
        <v>3</v>
      </c>
      <c r="S1161">
        <v>19</v>
      </c>
      <c r="T1161">
        <v>1</v>
      </c>
      <c r="U1161">
        <v>0</v>
      </c>
      <c r="V1161">
        <v>9.3000000000000007</v>
      </c>
    </row>
    <row r="1162" spans="1:22">
      <c r="A1162" s="1" t="s">
        <v>1208</v>
      </c>
      <c r="B1162" s="1" t="s">
        <v>34</v>
      </c>
      <c r="C1162" s="2">
        <v>46274</v>
      </c>
      <c r="D1162" s="3">
        <v>0.38541666666666669</v>
      </c>
      <c r="E1162">
        <v>97</v>
      </c>
      <c r="F1162">
        <v>95</v>
      </c>
      <c r="G1162">
        <v>3</v>
      </c>
      <c r="H1162" s="1" t="s">
        <v>35</v>
      </c>
      <c r="I1162">
        <v>12.2</v>
      </c>
      <c r="J1162">
        <v>18</v>
      </c>
      <c r="K1162" s="1" t="s">
        <v>36</v>
      </c>
      <c r="L1162" s="1" t="s">
        <v>69</v>
      </c>
      <c r="M1162">
        <v>0</v>
      </c>
      <c r="N1162">
        <v>0</v>
      </c>
      <c r="O1162" s="1" t="s">
        <v>27</v>
      </c>
      <c r="P1162">
        <v>1</v>
      </c>
      <c r="Q1162">
        <v>1</v>
      </c>
      <c r="R1162">
        <v>8</v>
      </c>
      <c r="S1162">
        <v>9</v>
      </c>
      <c r="T1162">
        <v>1</v>
      </c>
      <c r="U1162">
        <v>0</v>
      </c>
      <c r="V1162">
        <v>7.95</v>
      </c>
    </row>
    <row r="1163" spans="1:22">
      <c r="A1163" s="1" t="s">
        <v>1209</v>
      </c>
      <c r="B1163" s="1" t="s">
        <v>59</v>
      </c>
      <c r="C1163" s="2">
        <v>46271</v>
      </c>
      <c r="D1163" s="3">
        <v>0.875</v>
      </c>
      <c r="E1163">
        <v>46</v>
      </c>
      <c r="F1163">
        <v>49</v>
      </c>
      <c r="G1163">
        <v>3</v>
      </c>
      <c r="H1163" s="1" t="s">
        <v>60</v>
      </c>
      <c r="I1163">
        <v>24.8</v>
      </c>
      <c r="J1163">
        <v>28</v>
      </c>
      <c r="K1163" s="1" t="s">
        <v>61</v>
      </c>
      <c r="L1163" s="1" t="s">
        <v>38</v>
      </c>
      <c r="M1163">
        <v>1</v>
      </c>
      <c r="N1163">
        <v>0</v>
      </c>
      <c r="O1163" s="1" t="s">
        <v>27</v>
      </c>
      <c r="P1163">
        <v>1</v>
      </c>
      <c r="Q1163">
        <v>1</v>
      </c>
      <c r="R1163">
        <v>4</v>
      </c>
      <c r="S1163">
        <v>21</v>
      </c>
      <c r="T1163">
        <v>0</v>
      </c>
      <c r="U1163">
        <v>0</v>
      </c>
      <c r="V1163">
        <v>1.85</v>
      </c>
    </row>
    <row r="1164" spans="1:22">
      <c r="A1164" s="1" t="s">
        <v>1210</v>
      </c>
      <c r="B1164" s="1" t="s">
        <v>34</v>
      </c>
      <c r="C1164" s="2">
        <v>46274</v>
      </c>
      <c r="D1164" s="3">
        <v>0.33333333333333331</v>
      </c>
      <c r="E1164">
        <v>200</v>
      </c>
      <c r="F1164">
        <v>204</v>
      </c>
      <c r="G1164">
        <v>7</v>
      </c>
      <c r="H1164" s="1" t="s">
        <v>35</v>
      </c>
      <c r="I1164">
        <v>12.2</v>
      </c>
      <c r="J1164">
        <v>18</v>
      </c>
      <c r="K1164" s="1" t="s">
        <v>36</v>
      </c>
      <c r="L1164" s="1" t="s">
        <v>69</v>
      </c>
      <c r="M1164">
        <v>0</v>
      </c>
      <c r="N1164">
        <v>0</v>
      </c>
      <c r="O1164" s="1" t="s">
        <v>27</v>
      </c>
      <c r="P1164">
        <v>1</v>
      </c>
      <c r="Q1164">
        <v>1</v>
      </c>
      <c r="R1164">
        <v>9</v>
      </c>
      <c r="S1164">
        <v>8</v>
      </c>
      <c r="T1164">
        <v>1</v>
      </c>
      <c r="U1164">
        <v>0</v>
      </c>
      <c r="V1164">
        <v>16.39</v>
      </c>
    </row>
    <row r="1165" spans="1:22">
      <c r="A1165" s="1" t="s">
        <v>1211</v>
      </c>
      <c r="B1165" s="1" t="s">
        <v>59</v>
      </c>
      <c r="C1165" s="2">
        <v>46272</v>
      </c>
      <c r="D1165" s="3">
        <v>0.5625</v>
      </c>
      <c r="E1165">
        <v>85</v>
      </c>
      <c r="F1165">
        <v>97</v>
      </c>
      <c r="G1165">
        <v>3</v>
      </c>
      <c r="H1165" s="1" t="s">
        <v>60</v>
      </c>
      <c r="I1165">
        <v>24.8</v>
      </c>
      <c r="J1165">
        <v>28</v>
      </c>
      <c r="K1165" s="1" t="s">
        <v>61</v>
      </c>
      <c r="L1165" s="1" t="s">
        <v>65</v>
      </c>
      <c r="M1165">
        <v>0</v>
      </c>
      <c r="N1165">
        <v>0</v>
      </c>
      <c r="O1165" s="1" t="s">
        <v>27</v>
      </c>
      <c r="P1165">
        <v>1</v>
      </c>
      <c r="Q1165">
        <v>1</v>
      </c>
      <c r="R1165">
        <v>0</v>
      </c>
      <c r="S1165">
        <v>13</v>
      </c>
      <c r="T1165">
        <v>0</v>
      </c>
      <c r="U1165">
        <v>0</v>
      </c>
      <c r="V1165">
        <v>3.43</v>
      </c>
    </row>
    <row r="1166" spans="1:22">
      <c r="A1166" s="1" t="s">
        <v>1212</v>
      </c>
      <c r="B1166" s="1" t="s">
        <v>59</v>
      </c>
      <c r="C1166" s="2">
        <v>46274</v>
      </c>
      <c r="D1166" s="3">
        <v>0.28125</v>
      </c>
      <c r="E1166">
        <v>50</v>
      </c>
      <c r="F1166">
        <v>48</v>
      </c>
      <c r="G1166">
        <v>3</v>
      </c>
      <c r="H1166" s="1" t="s">
        <v>60</v>
      </c>
      <c r="I1166">
        <v>24.8</v>
      </c>
      <c r="J1166">
        <v>28</v>
      </c>
      <c r="K1166" s="1" t="s">
        <v>61</v>
      </c>
      <c r="L1166" s="1" t="s">
        <v>69</v>
      </c>
      <c r="M1166">
        <v>0</v>
      </c>
      <c r="N1166">
        <v>0</v>
      </c>
      <c r="O1166" s="1" t="s">
        <v>27</v>
      </c>
      <c r="P1166">
        <v>1</v>
      </c>
      <c r="Q1166">
        <v>1</v>
      </c>
      <c r="R1166">
        <v>0</v>
      </c>
      <c r="S1166">
        <v>6</v>
      </c>
      <c r="T1166">
        <v>0</v>
      </c>
      <c r="U1166">
        <v>0</v>
      </c>
      <c r="V1166">
        <v>2.02</v>
      </c>
    </row>
    <row r="1167" spans="1:22">
      <c r="A1167" s="1" t="s">
        <v>1213</v>
      </c>
      <c r="B1167" s="1" t="s">
        <v>23</v>
      </c>
      <c r="C1167" s="2">
        <v>46283</v>
      </c>
      <c r="D1167" s="3">
        <v>0.82291666666666663</v>
      </c>
      <c r="E1167">
        <v>96</v>
      </c>
      <c r="F1167">
        <v>94</v>
      </c>
      <c r="G1167">
        <v>6</v>
      </c>
      <c r="H1167" s="1" t="s">
        <v>24</v>
      </c>
      <c r="I1167">
        <v>15</v>
      </c>
      <c r="J1167">
        <v>16</v>
      </c>
      <c r="K1167" s="1" t="s">
        <v>25</v>
      </c>
      <c r="L1167" s="1" t="s">
        <v>49</v>
      </c>
      <c r="M1167">
        <v>0</v>
      </c>
      <c r="N1167">
        <v>0</v>
      </c>
      <c r="O1167" s="1" t="s">
        <v>27</v>
      </c>
      <c r="P1167">
        <v>1</v>
      </c>
      <c r="Q1167">
        <v>1</v>
      </c>
      <c r="R1167">
        <v>7</v>
      </c>
      <c r="S1167">
        <v>19</v>
      </c>
      <c r="T1167">
        <v>1</v>
      </c>
      <c r="U1167">
        <v>0</v>
      </c>
      <c r="V1167">
        <v>6.4</v>
      </c>
    </row>
    <row r="1168" spans="1:22">
      <c r="A1168" s="1" t="s">
        <v>1214</v>
      </c>
      <c r="B1168" s="1" t="s">
        <v>29</v>
      </c>
      <c r="C1168" s="2">
        <v>46277</v>
      </c>
      <c r="D1168" s="3">
        <v>0.47916666666666669</v>
      </c>
      <c r="E1168">
        <v>48</v>
      </c>
      <c r="F1168">
        <v>53</v>
      </c>
      <c r="G1168">
        <v>3</v>
      </c>
      <c r="H1168" s="1" t="s">
        <v>30</v>
      </c>
      <c r="I1168">
        <v>32</v>
      </c>
      <c r="J1168">
        <v>14</v>
      </c>
      <c r="K1168" s="1" t="s">
        <v>31</v>
      </c>
      <c r="L1168" s="1" t="s">
        <v>32</v>
      </c>
      <c r="M1168">
        <v>1</v>
      </c>
      <c r="N1168">
        <v>0</v>
      </c>
      <c r="O1168" s="1" t="s">
        <v>40</v>
      </c>
      <c r="P1168">
        <v>1</v>
      </c>
      <c r="Q1168">
        <v>1</v>
      </c>
      <c r="R1168">
        <v>7</v>
      </c>
      <c r="S1168">
        <v>11</v>
      </c>
      <c r="T1168">
        <v>0</v>
      </c>
      <c r="U1168">
        <v>1</v>
      </c>
      <c r="V1168">
        <v>1.5</v>
      </c>
    </row>
    <row r="1169" spans="1:22">
      <c r="A1169" s="1" t="s">
        <v>1215</v>
      </c>
      <c r="B1169" s="1" t="s">
        <v>59</v>
      </c>
      <c r="C1169" s="2">
        <v>46273</v>
      </c>
      <c r="D1169" s="3">
        <v>0.41666666666666669</v>
      </c>
      <c r="E1169">
        <v>149</v>
      </c>
      <c r="F1169">
        <v>149</v>
      </c>
      <c r="G1169">
        <v>5</v>
      </c>
      <c r="H1169" s="1" t="s">
        <v>60</v>
      </c>
      <c r="I1169">
        <v>24.8</v>
      </c>
      <c r="J1169">
        <v>28</v>
      </c>
      <c r="K1169" s="1" t="s">
        <v>61</v>
      </c>
      <c r="L1169" s="1" t="s">
        <v>26</v>
      </c>
      <c r="M1169">
        <v>0</v>
      </c>
      <c r="N1169">
        <v>0</v>
      </c>
      <c r="O1169" s="1" t="s">
        <v>27</v>
      </c>
      <c r="P1169">
        <v>1</v>
      </c>
      <c r="Q1169">
        <v>1</v>
      </c>
      <c r="R1169">
        <v>10</v>
      </c>
      <c r="S1169">
        <v>10</v>
      </c>
      <c r="T1169">
        <v>1</v>
      </c>
      <c r="U1169">
        <v>0</v>
      </c>
      <c r="V1169">
        <v>6.01</v>
      </c>
    </row>
    <row r="1170" spans="1:22">
      <c r="A1170" s="1" t="s">
        <v>1216</v>
      </c>
      <c r="B1170" s="1" t="s">
        <v>29</v>
      </c>
      <c r="C1170" s="2">
        <v>46273</v>
      </c>
      <c r="D1170" s="3">
        <v>0.8125</v>
      </c>
      <c r="E1170">
        <v>155</v>
      </c>
      <c r="F1170">
        <v>148</v>
      </c>
      <c r="G1170">
        <v>6</v>
      </c>
      <c r="H1170" s="1" t="s">
        <v>30</v>
      </c>
      <c r="I1170">
        <v>32</v>
      </c>
      <c r="J1170">
        <v>14</v>
      </c>
      <c r="K1170" s="1" t="s">
        <v>31</v>
      </c>
      <c r="L1170" s="1" t="s">
        <v>26</v>
      </c>
      <c r="M1170">
        <v>0</v>
      </c>
      <c r="N1170">
        <v>0</v>
      </c>
      <c r="O1170" s="1" t="s">
        <v>27</v>
      </c>
      <c r="P1170">
        <v>1</v>
      </c>
      <c r="Q1170">
        <v>1</v>
      </c>
      <c r="R1170">
        <v>2</v>
      </c>
      <c r="S1170">
        <v>19</v>
      </c>
      <c r="T1170">
        <v>1</v>
      </c>
      <c r="U1170">
        <v>0</v>
      </c>
      <c r="V1170">
        <v>4.84</v>
      </c>
    </row>
    <row r="1171" spans="1:22">
      <c r="A1171" s="1" t="s">
        <v>1217</v>
      </c>
      <c r="B1171" s="1" t="s">
        <v>59</v>
      </c>
      <c r="C1171" s="2">
        <v>46283</v>
      </c>
      <c r="D1171" s="3">
        <v>0.45833333333333331</v>
      </c>
      <c r="E1171">
        <v>171</v>
      </c>
      <c r="F1171">
        <v>172</v>
      </c>
      <c r="G1171">
        <v>6</v>
      </c>
      <c r="H1171" s="1" t="s">
        <v>60</v>
      </c>
      <c r="I1171">
        <v>24.8</v>
      </c>
      <c r="J1171">
        <v>28</v>
      </c>
      <c r="K1171" s="1" t="s">
        <v>61</v>
      </c>
      <c r="L1171" s="1" t="s">
        <v>49</v>
      </c>
      <c r="M1171">
        <v>0</v>
      </c>
      <c r="N1171">
        <v>0</v>
      </c>
      <c r="O1171" s="1" t="s">
        <v>27</v>
      </c>
      <c r="P1171">
        <v>1</v>
      </c>
      <c r="Q1171">
        <v>1</v>
      </c>
      <c r="R1171">
        <v>13</v>
      </c>
      <c r="S1171">
        <v>11</v>
      </c>
      <c r="T1171">
        <v>0</v>
      </c>
      <c r="U1171">
        <v>0</v>
      </c>
      <c r="V1171">
        <v>6.9</v>
      </c>
    </row>
    <row r="1172" spans="1:22">
      <c r="A1172" s="1" t="s">
        <v>1218</v>
      </c>
      <c r="B1172" s="1" t="s">
        <v>59</v>
      </c>
      <c r="C1172" s="2">
        <v>46293</v>
      </c>
      <c r="D1172" s="3">
        <v>0.88541666666666663</v>
      </c>
      <c r="E1172">
        <v>105</v>
      </c>
      <c r="F1172">
        <v>115</v>
      </c>
      <c r="G1172">
        <v>5</v>
      </c>
      <c r="H1172" s="1" t="s">
        <v>60</v>
      </c>
      <c r="I1172">
        <v>24.8</v>
      </c>
      <c r="J1172">
        <v>28</v>
      </c>
      <c r="K1172" s="1" t="s">
        <v>61</v>
      </c>
      <c r="L1172" s="1" t="s">
        <v>65</v>
      </c>
      <c r="M1172">
        <v>0</v>
      </c>
      <c r="N1172">
        <v>0</v>
      </c>
      <c r="O1172" s="1" t="s">
        <v>27</v>
      </c>
      <c r="P1172">
        <v>1</v>
      </c>
      <c r="Q1172">
        <v>1</v>
      </c>
      <c r="R1172">
        <v>3</v>
      </c>
      <c r="S1172">
        <v>21</v>
      </c>
      <c r="T1172">
        <v>0</v>
      </c>
      <c r="U1172">
        <v>0</v>
      </c>
      <c r="V1172">
        <v>4.2300000000000004</v>
      </c>
    </row>
    <row r="1173" spans="1:22">
      <c r="A1173" s="1" t="s">
        <v>1219</v>
      </c>
      <c r="B1173" s="1" t="s">
        <v>59</v>
      </c>
      <c r="C1173" s="2">
        <v>46295</v>
      </c>
      <c r="D1173" s="3">
        <v>0.54166666666666663</v>
      </c>
      <c r="E1173">
        <v>80</v>
      </c>
      <c r="F1173">
        <v>81</v>
      </c>
      <c r="G1173">
        <v>3</v>
      </c>
      <c r="H1173" s="1" t="s">
        <v>60</v>
      </c>
      <c r="I1173">
        <v>24.8</v>
      </c>
      <c r="J1173">
        <v>28</v>
      </c>
      <c r="K1173" s="1" t="s">
        <v>61</v>
      </c>
      <c r="L1173" s="1" t="s">
        <v>69</v>
      </c>
      <c r="M1173">
        <v>0</v>
      </c>
      <c r="N1173">
        <v>0</v>
      </c>
      <c r="O1173" s="1" t="s">
        <v>27</v>
      </c>
      <c r="P1173">
        <v>1</v>
      </c>
      <c r="Q1173">
        <v>1</v>
      </c>
      <c r="R1173">
        <v>4</v>
      </c>
      <c r="S1173">
        <v>13</v>
      </c>
      <c r="T1173">
        <v>0</v>
      </c>
      <c r="U1173">
        <v>0</v>
      </c>
      <c r="V1173">
        <v>3.23</v>
      </c>
    </row>
    <row r="1174" spans="1:22">
      <c r="A1174" s="1" t="s">
        <v>1220</v>
      </c>
      <c r="B1174" s="1" t="s">
        <v>23</v>
      </c>
      <c r="C1174" s="2">
        <v>46285</v>
      </c>
      <c r="D1174" s="3">
        <v>0.54166666666666663</v>
      </c>
      <c r="E1174">
        <v>69</v>
      </c>
      <c r="F1174">
        <v>72</v>
      </c>
      <c r="G1174">
        <v>3</v>
      </c>
      <c r="H1174" s="1" t="s">
        <v>24</v>
      </c>
      <c r="I1174">
        <v>15</v>
      </c>
      <c r="J1174">
        <v>16</v>
      </c>
      <c r="K1174" s="1" t="s">
        <v>25</v>
      </c>
      <c r="L1174" s="1" t="s">
        <v>38</v>
      </c>
      <c r="M1174">
        <v>1</v>
      </c>
      <c r="N1174">
        <v>0</v>
      </c>
      <c r="O1174" s="1" t="s">
        <v>52</v>
      </c>
      <c r="P1174">
        <v>1</v>
      </c>
      <c r="Q1174">
        <v>1</v>
      </c>
      <c r="R1174">
        <v>11</v>
      </c>
      <c r="S1174">
        <v>13</v>
      </c>
      <c r="T1174">
        <v>0</v>
      </c>
      <c r="U1174">
        <v>1</v>
      </c>
      <c r="V1174">
        <v>4.5999999999999996</v>
      </c>
    </row>
    <row r="1175" spans="1:22">
      <c r="A1175" s="1" t="s">
        <v>1221</v>
      </c>
      <c r="B1175" s="1" t="s">
        <v>23</v>
      </c>
      <c r="C1175" s="2">
        <v>46295</v>
      </c>
      <c r="D1175" s="3">
        <v>0.42708333333333331</v>
      </c>
      <c r="E1175">
        <v>118</v>
      </c>
      <c r="F1175">
        <v>122</v>
      </c>
      <c r="G1175">
        <v>6</v>
      </c>
      <c r="H1175" s="1" t="s">
        <v>24</v>
      </c>
      <c r="I1175">
        <v>15</v>
      </c>
      <c r="J1175">
        <v>16</v>
      </c>
      <c r="K1175" s="1" t="s">
        <v>25</v>
      </c>
      <c r="L1175" s="1" t="s">
        <v>69</v>
      </c>
      <c r="M1175">
        <v>0</v>
      </c>
      <c r="N1175">
        <v>0</v>
      </c>
      <c r="O1175" s="1" t="s">
        <v>27</v>
      </c>
      <c r="P1175">
        <v>1</v>
      </c>
      <c r="Q1175">
        <v>1</v>
      </c>
      <c r="R1175">
        <v>1</v>
      </c>
      <c r="S1175">
        <v>10</v>
      </c>
      <c r="T1175">
        <v>1</v>
      </c>
      <c r="U1175">
        <v>0</v>
      </c>
      <c r="V1175">
        <v>7.87</v>
      </c>
    </row>
    <row r="1176" spans="1:22">
      <c r="A1176" s="1" t="s">
        <v>1222</v>
      </c>
      <c r="B1176" s="1" t="s">
        <v>45</v>
      </c>
      <c r="C1176" s="2">
        <v>46280</v>
      </c>
      <c r="D1176" s="3">
        <v>0.29166666666666669</v>
      </c>
      <c r="E1176">
        <v>93</v>
      </c>
      <c r="F1176">
        <v>89</v>
      </c>
      <c r="G1176">
        <v>4</v>
      </c>
      <c r="H1176" s="1" t="s">
        <v>46</v>
      </c>
      <c r="I1176">
        <v>18.5</v>
      </c>
      <c r="J1176">
        <v>22</v>
      </c>
      <c r="K1176" s="1" t="s">
        <v>47</v>
      </c>
      <c r="L1176" s="1" t="s">
        <v>26</v>
      </c>
      <c r="M1176">
        <v>0</v>
      </c>
      <c r="N1176">
        <v>0</v>
      </c>
      <c r="O1176" s="1" t="s">
        <v>27</v>
      </c>
      <c r="P1176">
        <v>1</v>
      </c>
      <c r="Q1176">
        <v>1</v>
      </c>
      <c r="R1176">
        <v>1</v>
      </c>
      <c r="S1176">
        <v>7</v>
      </c>
      <c r="T1176">
        <v>0</v>
      </c>
      <c r="U1176">
        <v>0</v>
      </c>
      <c r="V1176">
        <v>5.03</v>
      </c>
    </row>
    <row r="1177" spans="1:22">
      <c r="A1177" s="1" t="s">
        <v>1223</v>
      </c>
      <c r="B1177" s="1" t="s">
        <v>23</v>
      </c>
      <c r="C1177" s="2">
        <v>46292</v>
      </c>
      <c r="D1177" s="3">
        <v>0.90625</v>
      </c>
      <c r="E1177">
        <v>69</v>
      </c>
      <c r="F1177">
        <v>65</v>
      </c>
      <c r="G1177">
        <v>4</v>
      </c>
      <c r="H1177" s="1" t="s">
        <v>24</v>
      </c>
      <c r="I1177">
        <v>15</v>
      </c>
      <c r="J1177">
        <v>16</v>
      </c>
      <c r="K1177" s="1" t="s">
        <v>25</v>
      </c>
      <c r="L1177" s="1" t="s">
        <v>38</v>
      </c>
      <c r="M1177">
        <v>1</v>
      </c>
      <c r="N1177">
        <v>0</v>
      </c>
      <c r="O1177" s="1" t="s">
        <v>134</v>
      </c>
      <c r="P1177">
        <v>1</v>
      </c>
      <c r="Q1177">
        <v>1</v>
      </c>
      <c r="R1177">
        <v>5</v>
      </c>
      <c r="S1177">
        <v>21</v>
      </c>
      <c r="T1177">
        <v>0</v>
      </c>
      <c r="U1177">
        <v>1</v>
      </c>
      <c r="V1177">
        <v>4.5999999999999996</v>
      </c>
    </row>
    <row r="1178" spans="1:22">
      <c r="A1178" s="1" t="s">
        <v>1224</v>
      </c>
      <c r="B1178" s="1" t="s">
        <v>29</v>
      </c>
      <c r="C1178" s="2">
        <v>46272</v>
      </c>
      <c r="D1178" s="3">
        <v>0.85416666666666663</v>
      </c>
      <c r="E1178">
        <v>123</v>
      </c>
      <c r="F1178">
        <v>122</v>
      </c>
      <c r="G1178">
        <v>6</v>
      </c>
      <c r="H1178" s="1" t="s">
        <v>30</v>
      </c>
      <c r="I1178">
        <v>32</v>
      </c>
      <c r="J1178">
        <v>14</v>
      </c>
      <c r="K1178" s="1" t="s">
        <v>31</v>
      </c>
      <c r="L1178" s="1" t="s">
        <v>65</v>
      </c>
      <c r="M1178">
        <v>0</v>
      </c>
      <c r="N1178">
        <v>0</v>
      </c>
      <c r="O1178" s="1" t="s">
        <v>27</v>
      </c>
      <c r="P1178">
        <v>1</v>
      </c>
      <c r="Q1178">
        <v>1</v>
      </c>
      <c r="R1178">
        <v>7</v>
      </c>
      <c r="S1178">
        <v>20</v>
      </c>
      <c r="T1178">
        <v>0</v>
      </c>
      <c r="U1178">
        <v>0</v>
      </c>
      <c r="V1178">
        <v>3.84</v>
      </c>
    </row>
    <row r="1179" spans="1:22">
      <c r="A1179" s="1" t="s">
        <v>1225</v>
      </c>
      <c r="B1179" s="1" t="s">
        <v>29</v>
      </c>
      <c r="C1179" s="2">
        <v>46276</v>
      </c>
      <c r="D1179" s="3">
        <v>0.72916666666666663</v>
      </c>
      <c r="E1179">
        <v>72</v>
      </c>
      <c r="F1179">
        <v>69</v>
      </c>
      <c r="G1179">
        <v>4</v>
      </c>
      <c r="H1179" s="1" t="s">
        <v>30</v>
      </c>
      <c r="I1179">
        <v>32</v>
      </c>
      <c r="J1179">
        <v>14</v>
      </c>
      <c r="K1179" s="1" t="s">
        <v>31</v>
      </c>
      <c r="L1179" s="1" t="s">
        <v>49</v>
      </c>
      <c r="M1179">
        <v>0</v>
      </c>
      <c r="N1179">
        <v>0</v>
      </c>
      <c r="O1179" s="1" t="s">
        <v>27</v>
      </c>
      <c r="P1179">
        <v>1</v>
      </c>
      <c r="Q1179">
        <v>1</v>
      </c>
      <c r="R1179">
        <v>17</v>
      </c>
      <c r="S1179">
        <v>17</v>
      </c>
      <c r="T1179">
        <v>1</v>
      </c>
      <c r="U1179">
        <v>0</v>
      </c>
      <c r="V1179">
        <v>2.25</v>
      </c>
    </row>
    <row r="1180" spans="1:22">
      <c r="A1180" s="1" t="s">
        <v>1226</v>
      </c>
      <c r="B1180" s="1" t="s">
        <v>23</v>
      </c>
      <c r="C1180" s="2">
        <v>46285</v>
      </c>
      <c r="D1180" s="3">
        <v>0.20833333333333334</v>
      </c>
      <c r="E1180">
        <v>80</v>
      </c>
      <c r="F1180">
        <v>88</v>
      </c>
      <c r="G1180">
        <v>7</v>
      </c>
      <c r="H1180" s="1" t="s">
        <v>24</v>
      </c>
      <c r="I1180">
        <v>15</v>
      </c>
      <c r="J1180">
        <v>16</v>
      </c>
      <c r="K1180" s="1" t="s">
        <v>25</v>
      </c>
      <c r="L1180" s="1" t="s">
        <v>38</v>
      </c>
      <c r="M1180">
        <v>1</v>
      </c>
      <c r="N1180">
        <v>0</v>
      </c>
      <c r="O1180" s="1" t="s">
        <v>52</v>
      </c>
      <c r="P1180">
        <v>1</v>
      </c>
      <c r="Q1180">
        <v>1</v>
      </c>
      <c r="R1180">
        <v>4</v>
      </c>
      <c r="S1180">
        <v>5</v>
      </c>
      <c r="T1180">
        <v>0</v>
      </c>
      <c r="U1180">
        <v>1</v>
      </c>
      <c r="V1180">
        <v>5.33</v>
      </c>
    </row>
    <row r="1181" spans="1:22">
      <c r="A1181" s="1" t="s">
        <v>1227</v>
      </c>
      <c r="B1181" s="1" t="s">
        <v>34</v>
      </c>
      <c r="C1181" s="2">
        <v>46281</v>
      </c>
      <c r="D1181" s="3">
        <v>0.30208333333333331</v>
      </c>
      <c r="E1181">
        <v>110</v>
      </c>
      <c r="F1181">
        <v>106</v>
      </c>
      <c r="G1181">
        <v>5</v>
      </c>
      <c r="H1181" s="1" t="s">
        <v>35</v>
      </c>
      <c r="I1181">
        <v>12.2</v>
      </c>
      <c r="J1181">
        <v>18</v>
      </c>
      <c r="K1181" s="1" t="s">
        <v>36</v>
      </c>
      <c r="L1181" s="1" t="s">
        <v>69</v>
      </c>
      <c r="M1181">
        <v>0</v>
      </c>
      <c r="N1181">
        <v>0</v>
      </c>
      <c r="O1181" s="1" t="s">
        <v>27</v>
      </c>
      <c r="P1181">
        <v>1</v>
      </c>
      <c r="Q1181">
        <v>1</v>
      </c>
      <c r="R1181">
        <v>12</v>
      </c>
      <c r="S1181">
        <v>7</v>
      </c>
      <c r="T1181">
        <v>0</v>
      </c>
      <c r="U1181">
        <v>0</v>
      </c>
      <c r="V1181">
        <v>9.02</v>
      </c>
    </row>
    <row r="1182" spans="1:22">
      <c r="A1182" s="1" t="s">
        <v>1228</v>
      </c>
      <c r="B1182" s="1" t="s">
        <v>29</v>
      </c>
      <c r="C1182" s="2">
        <v>46269</v>
      </c>
      <c r="D1182" s="3">
        <v>0.82291666666666663</v>
      </c>
      <c r="E1182">
        <v>160</v>
      </c>
      <c r="F1182">
        <v>154</v>
      </c>
      <c r="G1182">
        <v>6</v>
      </c>
      <c r="H1182" s="1" t="s">
        <v>30</v>
      </c>
      <c r="I1182">
        <v>32</v>
      </c>
      <c r="J1182">
        <v>14</v>
      </c>
      <c r="K1182" s="1" t="s">
        <v>31</v>
      </c>
      <c r="L1182" s="1" t="s">
        <v>49</v>
      </c>
      <c r="M1182">
        <v>0</v>
      </c>
      <c r="N1182">
        <v>0</v>
      </c>
      <c r="O1182" s="1" t="s">
        <v>27</v>
      </c>
      <c r="P1182">
        <v>1</v>
      </c>
      <c r="Q1182">
        <v>1</v>
      </c>
      <c r="R1182">
        <v>10</v>
      </c>
      <c r="S1182">
        <v>19</v>
      </c>
      <c r="T1182">
        <v>1</v>
      </c>
      <c r="U1182">
        <v>0</v>
      </c>
      <c r="V1182">
        <v>5</v>
      </c>
    </row>
    <row r="1183" spans="1:22">
      <c r="A1183" s="1" t="s">
        <v>1229</v>
      </c>
      <c r="B1183" s="1" t="s">
        <v>23</v>
      </c>
      <c r="C1183" s="2">
        <v>46271</v>
      </c>
      <c r="D1183" s="3">
        <v>0.34375</v>
      </c>
      <c r="E1183">
        <v>77</v>
      </c>
      <c r="F1183">
        <v>70</v>
      </c>
      <c r="G1183">
        <v>4</v>
      </c>
      <c r="H1183" s="1" t="s">
        <v>24</v>
      </c>
      <c r="I1183">
        <v>15</v>
      </c>
      <c r="J1183">
        <v>16</v>
      </c>
      <c r="K1183" s="1" t="s">
        <v>25</v>
      </c>
      <c r="L1183" s="1" t="s">
        <v>38</v>
      </c>
      <c r="M1183">
        <v>1</v>
      </c>
      <c r="N1183">
        <v>0</v>
      </c>
      <c r="O1183" s="1" t="s">
        <v>27</v>
      </c>
      <c r="P1183">
        <v>1</v>
      </c>
      <c r="Q1183">
        <v>1</v>
      </c>
      <c r="R1183">
        <v>9</v>
      </c>
      <c r="S1183">
        <v>8</v>
      </c>
      <c r="T1183">
        <v>1</v>
      </c>
      <c r="U1183">
        <v>0</v>
      </c>
      <c r="V1183">
        <v>5.13</v>
      </c>
    </row>
    <row r="1184" spans="1:22">
      <c r="A1184" s="1" t="s">
        <v>1230</v>
      </c>
      <c r="B1184" s="1" t="s">
        <v>59</v>
      </c>
      <c r="C1184" s="2">
        <v>46291</v>
      </c>
      <c r="D1184" s="3">
        <v>0.89583333333333337</v>
      </c>
      <c r="E1184">
        <v>102</v>
      </c>
      <c r="F1184">
        <v>104</v>
      </c>
      <c r="G1184">
        <v>4</v>
      </c>
      <c r="H1184" s="1" t="s">
        <v>60</v>
      </c>
      <c r="I1184">
        <v>24.8</v>
      </c>
      <c r="J1184">
        <v>28</v>
      </c>
      <c r="K1184" s="1" t="s">
        <v>61</v>
      </c>
      <c r="L1184" s="1" t="s">
        <v>32</v>
      </c>
      <c r="M1184">
        <v>1</v>
      </c>
      <c r="N1184">
        <v>0</v>
      </c>
      <c r="O1184" s="1" t="s">
        <v>27</v>
      </c>
      <c r="P1184">
        <v>1</v>
      </c>
      <c r="Q1184">
        <v>1</v>
      </c>
      <c r="R1184">
        <v>6</v>
      </c>
      <c r="S1184">
        <v>21</v>
      </c>
      <c r="T1184">
        <v>0</v>
      </c>
      <c r="U1184">
        <v>0</v>
      </c>
      <c r="V1184">
        <v>4.1100000000000003</v>
      </c>
    </row>
    <row r="1185" spans="1:22">
      <c r="A1185" s="1" t="s">
        <v>1231</v>
      </c>
      <c r="B1185" s="1" t="s">
        <v>45</v>
      </c>
      <c r="C1185" s="2">
        <v>46287</v>
      </c>
      <c r="D1185" s="3">
        <v>0.65625</v>
      </c>
      <c r="E1185">
        <v>138</v>
      </c>
      <c r="F1185">
        <v>140</v>
      </c>
      <c r="G1185">
        <v>5</v>
      </c>
      <c r="H1185" s="1" t="s">
        <v>46</v>
      </c>
      <c r="I1185">
        <v>18.5</v>
      </c>
      <c r="J1185">
        <v>22</v>
      </c>
      <c r="K1185" s="1" t="s">
        <v>47</v>
      </c>
      <c r="L1185" s="1" t="s">
        <v>26</v>
      </c>
      <c r="M1185">
        <v>0</v>
      </c>
      <c r="N1185">
        <v>0</v>
      </c>
      <c r="O1185" s="1" t="s">
        <v>27</v>
      </c>
      <c r="P1185">
        <v>1</v>
      </c>
      <c r="Q1185">
        <v>1</v>
      </c>
      <c r="R1185">
        <v>4</v>
      </c>
      <c r="S1185">
        <v>15</v>
      </c>
      <c r="T1185">
        <v>0</v>
      </c>
      <c r="U1185">
        <v>0</v>
      </c>
      <c r="V1185">
        <v>7.46</v>
      </c>
    </row>
    <row r="1186" spans="1:22">
      <c r="A1186" s="1" t="s">
        <v>1232</v>
      </c>
      <c r="B1186" s="1" t="s">
        <v>29</v>
      </c>
      <c r="C1186" s="2">
        <v>46291</v>
      </c>
      <c r="D1186" s="3">
        <v>0.32291666666666669</v>
      </c>
      <c r="E1186">
        <v>147</v>
      </c>
      <c r="F1186">
        <v>137</v>
      </c>
      <c r="G1186">
        <v>5</v>
      </c>
      <c r="H1186" s="1" t="s">
        <v>30</v>
      </c>
      <c r="I1186">
        <v>32</v>
      </c>
      <c r="J1186">
        <v>14</v>
      </c>
      <c r="K1186" s="1" t="s">
        <v>31</v>
      </c>
      <c r="L1186" s="1" t="s">
        <v>32</v>
      </c>
      <c r="M1186">
        <v>1</v>
      </c>
      <c r="N1186">
        <v>0</v>
      </c>
      <c r="O1186" s="1" t="s">
        <v>27</v>
      </c>
      <c r="P1186">
        <v>1</v>
      </c>
      <c r="Q1186">
        <v>1</v>
      </c>
      <c r="R1186">
        <v>18</v>
      </c>
      <c r="S1186">
        <v>7</v>
      </c>
      <c r="T1186">
        <v>0</v>
      </c>
      <c r="U1186">
        <v>0</v>
      </c>
      <c r="V1186">
        <v>4.59</v>
      </c>
    </row>
    <row r="1187" spans="1:22">
      <c r="A1187" s="1" t="s">
        <v>1233</v>
      </c>
      <c r="B1187" s="1" t="s">
        <v>29</v>
      </c>
      <c r="C1187" s="2">
        <v>46268</v>
      </c>
      <c r="D1187" s="3">
        <v>0.76041666666666663</v>
      </c>
      <c r="E1187">
        <v>60</v>
      </c>
      <c r="F1187">
        <v>54</v>
      </c>
      <c r="G1187">
        <v>3</v>
      </c>
      <c r="H1187" s="1" t="s">
        <v>30</v>
      </c>
      <c r="I1187">
        <v>32</v>
      </c>
      <c r="J1187">
        <v>14</v>
      </c>
      <c r="K1187" s="1" t="s">
        <v>31</v>
      </c>
      <c r="L1187" s="1" t="s">
        <v>56</v>
      </c>
      <c r="M1187">
        <v>0</v>
      </c>
      <c r="N1187">
        <v>0</v>
      </c>
      <c r="O1187" s="1" t="s">
        <v>27</v>
      </c>
      <c r="P1187">
        <v>1</v>
      </c>
      <c r="Q1187">
        <v>1</v>
      </c>
      <c r="R1187">
        <v>4</v>
      </c>
      <c r="S1187">
        <v>18</v>
      </c>
      <c r="T1187">
        <v>1</v>
      </c>
      <c r="U1187">
        <v>0</v>
      </c>
      <c r="V1187">
        <v>1.88</v>
      </c>
    </row>
    <row r="1188" spans="1:22">
      <c r="A1188" s="1" t="s">
        <v>1234</v>
      </c>
      <c r="B1188" s="1" t="s">
        <v>29</v>
      </c>
      <c r="C1188" s="2">
        <v>46274</v>
      </c>
      <c r="D1188" s="3">
        <v>0.21875</v>
      </c>
      <c r="E1188">
        <v>53</v>
      </c>
      <c r="F1188">
        <v>57</v>
      </c>
      <c r="G1188">
        <v>5</v>
      </c>
      <c r="H1188" s="1" t="s">
        <v>30</v>
      </c>
      <c r="I1188">
        <v>32</v>
      </c>
      <c r="J1188">
        <v>14</v>
      </c>
      <c r="K1188" s="1" t="s">
        <v>31</v>
      </c>
      <c r="L1188" s="1" t="s">
        <v>69</v>
      </c>
      <c r="M1188">
        <v>0</v>
      </c>
      <c r="N1188">
        <v>0</v>
      </c>
      <c r="O1188" s="1" t="s">
        <v>27</v>
      </c>
      <c r="P1188">
        <v>1</v>
      </c>
      <c r="Q1188">
        <v>1</v>
      </c>
      <c r="R1188">
        <v>2</v>
      </c>
      <c r="S1188">
        <v>5</v>
      </c>
      <c r="T1188">
        <v>0</v>
      </c>
      <c r="U1188">
        <v>0</v>
      </c>
      <c r="V1188">
        <v>1.66</v>
      </c>
    </row>
    <row r="1189" spans="1:22">
      <c r="A1189" s="1" t="s">
        <v>1235</v>
      </c>
      <c r="B1189" s="1" t="s">
        <v>29</v>
      </c>
      <c r="C1189" s="2">
        <v>46293</v>
      </c>
      <c r="D1189" s="3">
        <v>0.25</v>
      </c>
      <c r="E1189">
        <v>92</v>
      </c>
      <c r="F1189">
        <v>94</v>
      </c>
      <c r="G1189">
        <v>5</v>
      </c>
      <c r="H1189" s="1" t="s">
        <v>30</v>
      </c>
      <c r="I1189">
        <v>32</v>
      </c>
      <c r="J1189">
        <v>14</v>
      </c>
      <c r="K1189" s="1" t="s">
        <v>31</v>
      </c>
      <c r="L1189" s="1" t="s">
        <v>65</v>
      </c>
      <c r="M1189">
        <v>0</v>
      </c>
      <c r="N1189">
        <v>0</v>
      </c>
      <c r="O1189" s="1" t="s">
        <v>27</v>
      </c>
      <c r="P1189">
        <v>1</v>
      </c>
      <c r="Q1189">
        <v>1</v>
      </c>
      <c r="R1189">
        <v>7</v>
      </c>
      <c r="S1189">
        <v>6</v>
      </c>
      <c r="T1189">
        <v>0</v>
      </c>
      <c r="U1189">
        <v>0</v>
      </c>
      <c r="V1189">
        <v>2.88</v>
      </c>
    </row>
    <row r="1190" spans="1:22">
      <c r="A1190" s="1" t="s">
        <v>1236</v>
      </c>
      <c r="B1190" s="1" t="s">
        <v>23</v>
      </c>
      <c r="C1190" s="2">
        <v>46275</v>
      </c>
      <c r="D1190" s="3">
        <v>0.36458333333333331</v>
      </c>
      <c r="E1190">
        <v>117</v>
      </c>
      <c r="F1190">
        <v>116</v>
      </c>
      <c r="G1190">
        <v>6</v>
      </c>
      <c r="H1190" s="1" t="s">
        <v>24</v>
      </c>
      <c r="I1190">
        <v>15</v>
      </c>
      <c r="J1190">
        <v>16</v>
      </c>
      <c r="K1190" s="1" t="s">
        <v>25</v>
      </c>
      <c r="L1190" s="1" t="s">
        <v>56</v>
      </c>
      <c r="M1190">
        <v>0</v>
      </c>
      <c r="N1190">
        <v>0</v>
      </c>
      <c r="O1190" s="1" t="s">
        <v>27</v>
      </c>
      <c r="P1190">
        <v>1</v>
      </c>
      <c r="Q1190">
        <v>1</v>
      </c>
      <c r="R1190">
        <v>0</v>
      </c>
      <c r="S1190">
        <v>8</v>
      </c>
      <c r="T1190">
        <v>1</v>
      </c>
      <c r="U1190">
        <v>0</v>
      </c>
      <c r="V1190">
        <v>7.8</v>
      </c>
    </row>
    <row r="1191" spans="1:22">
      <c r="A1191" s="1" t="s">
        <v>1237</v>
      </c>
      <c r="B1191" s="1" t="s">
        <v>59</v>
      </c>
      <c r="C1191" s="2">
        <v>46279</v>
      </c>
      <c r="D1191" s="3">
        <v>0.41666666666666669</v>
      </c>
      <c r="E1191">
        <v>83</v>
      </c>
      <c r="F1191">
        <v>87</v>
      </c>
      <c r="G1191">
        <v>5</v>
      </c>
      <c r="H1191" s="1" t="s">
        <v>60</v>
      </c>
      <c r="I1191">
        <v>24.8</v>
      </c>
      <c r="J1191">
        <v>28</v>
      </c>
      <c r="K1191" s="1" t="s">
        <v>61</v>
      </c>
      <c r="L1191" s="1" t="s">
        <v>65</v>
      </c>
      <c r="M1191">
        <v>0</v>
      </c>
      <c r="N1191">
        <v>0</v>
      </c>
      <c r="O1191" s="1" t="s">
        <v>27</v>
      </c>
      <c r="P1191">
        <v>1</v>
      </c>
      <c r="Q1191">
        <v>1</v>
      </c>
      <c r="R1191">
        <v>3</v>
      </c>
      <c r="S1191">
        <v>10</v>
      </c>
      <c r="T1191">
        <v>1</v>
      </c>
      <c r="U1191">
        <v>0</v>
      </c>
      <c r="V1191">
        <v>3.35</v>
      </c>
    </row>
    <row r="1192" spans="1:22">
      <c r="A1192" s="1" t="s">
        <v>1238</v>
      </c>
      <c r="B1192" s="1" t="s">
        <v>59</v>
      </c>
      <c r="C1192" s="2">
        <v>46276</v>
      </c>
      <c r="D1192" s="3">
        <v>0.20833333333333334</v>
      </c>
      <c r="E1192">
        <v>126</v>
      </c>
      <c r="F1192">
        <v>135</v>
      </c>
      <c r="G1192">
        <v>7</v>
      </c>
      <c r="H1192" s="1" t="s">
        <v>60</v>
      </c>
      <c r="I1192">
        <v>24.8</v>
      </c>
      <c r="J1192">
        <v>28</v>
      </c>
      <c r="K1192" s="1" t="s">
        <v>61</v>
      </c>
      <c r="L1192" s="1" t="s">
        <v>49</v>
      </c>
      <c r="M1192">
        <v>0</v>
      </c>
      <c r="N1192">
        <v>0</v>
      </c>
      <c r="O1192" s="1" t="s">
        <v>27</v>
      </c>
      <c r="P1192">
        <v>1</v>
      </c>
      <c r="Q1192">
        <v>1</v>
      </c>
      <c r="R1192">
        <v>2</v>
      </c>
      <c r="S1192">
        <v>5</v>
      </c>
      <c r="T1192">
        <v>0</v>
      </c>
      <c r="U1192">
        <v>0</v>
      </c>
      <c r="V1192">
        <v>5.08</v>
      </c>
    </row>
    <row r="1193" spans="1:22">
      <c r="A1193" s="1" t="s">
        <v>1239</v>
      </c>
      <c r="B1193" s="1" t="s">
        <v>45</v>
      </c>
      <c r="C1193" s="2">
        <v>46283</v>
      </c>
      <c r="D1193" s="3">
        <v>0.52083333333333337</v>
      </c>
      <c r="E1193">
        <v>63</v>
      </c>
      <c r="F1193">
        <v>61</v>
      </c>
      <c r="G1193">
        <v>3</v>
      </c>
      <c r="H1193" s="1" t="s">
        <v>46</v>
      </c>
      <c r="I1193">
        <v>18.5</v>
      </c>
      <c r="J1193">
        <v>22</v>
      </c>
      <c r="K1193" s="1" t="s">
        <v>47</v>
      </c>
      <c r="L1193" s="1" t="s">
        <v>49</v>
      </c>
      <c r="M1193">
        <v>0</v>
      </c>
      <c r="N1193">
        <v>0</v>
      </c>
      <c r="O1193" s="1" t="s">
        <v>27</v>
      </c>
      <c r="P1193">
        <v>1</v>
      </c>
      <c r="Q1193">
        <v>1</v>
      </c>
      <c r="R1193">
        <v>4</v>
      </c>
      <c r="S1193">
        <v>12</v>
      </c>
      <c r="T1193">
        <v>0</v>
      </c>
      <c r="U1193">
        <v>0</v>
      </c>
      <c r="V1193">
        <v>3.41</v>
      </c>
    </row>
    <row r="1194" spans="1:22">
      <c r="A1194" s="1" t="s">
        <v>1240</v>
      </c>
      <c r="B1194" s="1" t="s">
        <v>59</v>
      </c>
      <c r="C1194" s="2">
        <v>46287</v>
      </c>
      <c r="D1194" s="3">
        <v>0.20833333333333334</v>
      </c>
      <c r="E1194">
        <v>49</v>
      </c>
      <c r="F1194">
        <v>47</v>
      </c>
      <c r="G1194">
        <v>3</v>
      </c>
      <c r="H1194" s="1" t="s">
        <v>60</v>
      </c>
      <c r="I1194">
        <v>24.8</v>
      </c>
      <c r="J1194">
        <v>28</v>
      </c>
      <c r="K1194" s="1" t="s">
        <v>61</v>
      </c>
      <c r="L1194" s="1" t="s">
        <v>26</v>
      </c>
      <c r="M1194">
        <v>0</v>
      </c>
      <c r="N1194">
        <v>0</v>
      </c>
      <c r="O1194" s="1" t="s">
        <v>27</v>
      </c>
      <c r="P1194">
        <v>1</v>
      </c>
      <c r="Q1194">
        <v>1</v>
      </c>
      <c r="R1194">
        <v>6</v>
      </c>
      <c r="S1194">
        <v>5</v>
      </c>
      <c r="T1194">
        <v>0</v>
      </c>
      <c r="U1194">
        <v>0</v>
      </c>
      <c r="V1194">
        <v>1.98</v>
      </c>
    </row>
    <row r="1195" spans="1:22">
      <c r="A1195" s="1" t="s">
        <v>1241</v>
      </c>
      <c r="B1195" s="1" t="s">
        <v>59</v>
      </c>
      <c r="C1195" s="2">
        <v>46277</v>
      </c>
      <c r="D1195" s="3">
        <v>0.84375</v>
      </c>
      <c r="E1195">
        <v>158</v>
      </c>
      <c r="F1195">
        <v>164</v>
      </c>
      <c r="G1195">
        <v>5</v>
      </c>
      <c r="H1195" s="1" t="s">
        <v>60</v>
      </c>
      <c r="I1195">
        <v>24.8</v>
      </c>
      <c r="J1195">
        <v>28</v>
      </c>
      <c r="K1195" s="1" t="s">
        <v>61</v>
      </c>
      <c r="L1195" s="1" t="s">
        <v>32</v>
      </c>
      <c r="M1195">
        <v>1</v>
      </c>
      <c r="N1195">
        <v>0</v>
      </c>
      <c r="O1195" s="1" t="s">
        <v>40</v>
      </c>
      <c r="P1195">
        <v>1</v>
      </c>
      <c r="Q1195">
        <v>1</v>
      </c>
      <c r="R1195">
        <v>6</v>
      </c>
      <c r="S1195">
        <v>20</v>
      </c>
      <c r="T1195">
        <v>0</v>
      </c>
      <c r="U1195">
        <v>1</v>
      </c>
      <c r="V1195">
        <v>6.37</v>
      </c>
    </row>
    <row r="1196" spans="1:22">
      <c r="A1196" s="1" t="s">
        <v>1242</v>
      </c>
      <c r="B1196" s="1" t="s">
        <v>29</v>
      </c>
      <c r="C1196" s="2">
        <v>46288</v>
      </c>
      <c r="D1196" s="3">
        <v>0.5</v>
      </c>
      <c r="E1196">
        <v>127</v>
      </c>
      <c r="F1196">
        <v>135</v>
      </c>
      <c r="G1196">
        <v>6</v>
      </c>
      <c r="H1196" s="1" t="s">
        <v>30</v>
      </c>
      <c r="I1196">
        <v>32</v>
      </c>
      <c r="J1196">
        <v>14</v>
      </c>
      <c r="K1196" s="1" t="s">
        <v>31</v>
      </c>
      <c r="L1196" s="1" t="s">
        <v>69</v>
      </c>
      <c r="M1196">
        <v>0</v>
      </c>
      <c r="N1196">
        <v>0</v>
      </c>
      <c r="O1196" s="1" t="s">
        <v>27</v>
      </c>
      <c r="P1196">
        <v>1</v>
      </c>
      <c r="Q1196">
        <v>1</v>
      </c>
      <c r="R1196">
        <v>7</v>
      </c>
      <c r="S1196">
        <v>12</v>
      </c>
      <c r="T1196">
        <v>0</v>
      </c>
      <c r="U1196">
        <v>0</v>
      </c>
      <c r="V1196">
        <v>3.97</v>
      </c>
    </row>
    <row r="1197" spans="1:22">
      <c r="A1197" s="1" t="s">
        <v>1243</v>
      </c>
      <c r="B1197" s="1" t="s">
        <v>59</v>
      </c>
      <c r="C1197" s="2">
        <v>46277</v>
      </c>
      <c r="D1197" s="3">
        <v>0.86458333333333337</v>
      </c>
      <c r="E1197">
        <v>142</v>
      </c>
      <c r="F1197">
        <v>140</v>
      </c>
      <c r="G1197">
        <v>7</v>
      </c>
      <c r="H1197" s="1" t="s">
        <v>60</v>
      </c>
      <c r="I1197">
        <v>24.8</v>
      </c>
      <c r="J1197">
        <v>28</v>
      </c>
      <c r="K1197" s="1" t="s">
        <v>61</v>
      </c>
      <c r="L1197" s="1" t="s">
        <v>32</v>
      </c>
      <c r="M1197">
        <v>1</v>
      </c>
      <c r="N1197">
        <v>0</v>
      </c>
      <c r="O1197" s="1" t="s">
        <v>40</v>
      </c>
      <c r="P1197">
        <v>1</v>
      </c>
      <c r="Q1197">
        <v>1</v>
      </c>
      <c r="R1197">
        <v>4</v>
      </c>
      <c r="S1197">
        <v>20</v>
      </c>
      <c r="T1197">
        <v>0</v>
      </c>
      <c r="U1197">
        <v>1</v>
      </c>
      <c r="V1197">
        <v>5.73</v>
      </c>
    </row>
    <row r="1198" spans="1:22">
      <c r="A1198" s="1" t="s">
        <v>1244</v>
      </c>
      <c r="B1198" s="1" t="s">
        <v>45</v>
      </c>
      <c r="C1198" s="2">
        <v>46278</v>
      </c>
      <c r="D1198" s="3">
        <v>0.3125</v>
      </c>
      <c r="E1198">
        <v>81</v>
      </c>
      <c r="F1198">
        <v>84</v>
      </c>
      <c r="G1198">
        <v>3</v>
      </c>
      <c r="H1198" s="1" t="s">
        <v>46</v>
      </c>
      <c r="I1198">
        <v>18.5</v>
      </c>
      <c r="J1198">
        <v>22</v>
      </c>
      <c r="K1198" s="1" t="s">
        <v>47</v>
      </c>
      <c r="L1198" s="1" t="s">
        <v>38</v>
      </c>
      <c r="M1198">
        <v>1</v>
      </c>
      <c r="N1198">
        <v>0</v>
      </c>
      <c r="O1198" s="1" t="s">
        <v>27</v>
      </c>
      <c r="P1198">
        <v>1</v>
      </c>
      <c r="Q1198">
        <v>1</v>
      </c>
      <c r="R1198">
        <v>1</v>
      </c>
      <c r="S1198">
        <v>7</v>
      </c>
      <c r="T1198">
        <v>0</v>
      </c>
      <c r="U1198">
        <v>0</v>
      </c>
      <c r="V1198">
        <v>4.38</v>
      </c>
    </row>
    <row r="1199" spans="1:22">
      <c r="A1199" s="1" t="s">
        <v>1245</v>
      </c>
      <c r="B1199" s="1" t="s">
        <v>45</v>
      </c>
      <c r="C1199" s="2">
        <v>46290</v>
      </c>
      <c r="D1199" s="3">
        <v>0.69791666666666663</v>
      </c>
      <c r="E1199">
        <v>60</v>
      </c>
      <c r="F1199">
        <v>60</v>
      </c>
      <c r="G1199">
        <v>5</v>
      </c>
      <c r="H1199" s="1" t="s">
        <v>46</v>
      </c>
      <c r="I1199">
        <v>18.5</v>
      </c>
      <c r="J1199">
        <v>22</v>
      </c>
      <c r="K1199" s="1" t="s">
        <v>47</v>
      </c>
      <c r="L1199" s="1" t="s">
        <v>49</v>
      </c>
      <c r="M1199">
        <v>0</v>
      </c>
      <c r="N1199">
        <v>0</v>
      </c>
      <c r="O1199" s="1" t="s">
        <v>27</v>
      </c>
      <c r="P1199">
        <v>1</v>
      </c>
      <c r="Q1199">
        <v>1</v>
      </c>
      <c r="R1199">
        <v>1</v>
      </c>
      <c r="S1199">
        <v>16</v>
      </c>
      <c r="T1199">
        <v>0</v>
      </c>
      <c r="U1199">
        <v>0</v>
      </c>
      <c r="V1199">
        <v>3.24</v>
      </c>
    </row>
    <row r="1200" spans="1:22">
      <c r="A1200" s="1" t="s">
        <v>1246</v>
      </c>
      <c r="B1200" s="1" t="s">
        <v>23</v>
      </c>
      <c r="C1200" s="2">
        <v>46278</v>
      </c>
      <c r="D1200" s="3">
        <v>0.63541666666666663</v>
      </c>
      <c r="E1200">
        <v>120</v>
      </c>
      <c r="F1200">
        <v>124</v>
      </c>
      <c r="G1200">
        <v>6</v>
      </c>
      <c r="H1200" s="1" t="s">
        <v>24</v>
      </c>
      <c r="I1200">
        <v>15</v>
      </c>
      <c r="J1200">
        <v>16</v>
      </c>
      <c r="K1200" s="1" t="s">
        <v>25</v>
      </c>
      <c r="L1200" s="1" t="s">
        <v>38</v>
      </c>
      <c r="M1200">
        <v>1</v>
      </c>
      <c r="N1200">
        <v>0</v>
      </c>
      <c r="O1200" s="1" t="s">
        <v>27</v>
      </c>
      <c r="P1200">
        <v>1</v>
      </c>
      <c r="Q1200">
        <v>1</v>
      </c>
      <c r="R1200">
        <v>21</v>
      </c>
      <c r="S1200">
        <v>15</v>
      </c>
      <c r="T1200">
        <v>0</v>
      </c>
      <c r="U1200">
        <v>0</v>
      </c>
      <c r="V1200">
        <v>8</v>
      </c>
    </row>
    <row r="1201" spans="1:22">
      <c r="A1201" s="1" t="s">
        <v>1247</v>
      </c>
      <c r="B1201" s="1" t="s">
        <v>29</v>
      </c>
      <c r="C1201" s="2">
        <v>46284</v>
      </c>
      <c r="D1201" s="3">
        <v>0.36458333333333331</v>
      </c>
      <c r="E1201">
        <v>51</v>
      </c>
      <c r="F1201">
        <v>59</v>
      </c>
      <c r="G1201">
        <v>3</v>
      </c>
      <c r="H1201" s="1" t="s">
        <v>30</v>
      </c>
      <c r="I1201">
        <v>32</v>
      </c>
      <c r="J1201">
        <v>14</v>
      </c>
      <c r="K1201" s="1" t="s">
        <v>31</v>
      </c>
      <c r="L1201" s="1" t="s">
        <v>32</v>
      </c>
      <c r="M1201">
        <v>1</v>
      </c>
      <c r="N1201">
        <v>1</v>
      </c>
      <c r="O1201" s="1" t="s">
        <v>27</v>
      </c>
      <c r="P1201">
        <v>1</v>
      </c>
      <c r="Q1201">
        <v>1</v>
      </c>
      <c r="R1201">
        <v>1</v>
      </c>
      <c r="S1201">
        <v>8</v>
      </c>
      <c r="T1201">
        <v>1</v>
      </c>
      <c r="U1201">
        <v>0</v>
      </c>
      <c r="V1201">
        <v>1.59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0058-80D8-4605-80A9-21460C90177F}">
  <dimension ref="A1:C16"/>
  <sheetViews>
    <sheetView workbookViewId="0">
      <selection activeCell="C11" sqref="C11"/>
    </sheetView>
  </sheetViews>
  <sheetFormatPr defaultRowHeight="15"/>
  <cols>
    <col min="1" max="1" width="28.140625" customWidth="1"/>
    <col min="2" max="2" width="25" customWidth="1"/>
    <col min="3" max="3" width="49.5703125" customWidth="1"/>
  </cols>
  <sheetData>
    <row r="1" spans="1:3">
      <c r="A1" s="7" t="s">
        <v>1248</v>
      </c>
      <c r="B1" s="7" t="s">
        <v>1249</v>
      </c>
      <c r="C1" s="7" t="s">
        <v>1250</v>
      </c>
    </row>
    <row r="2" spans="1:3">
      <c r="A2" s="4" t="s">
        <v>1251</v>
      </c>
      <c r="B2" s="5">
        <f>COUNTA(Cleaned_Data!A2:A1201)</f>
        <v>1200</v>
      </c>
      <c r="C2" t="s">
        <v>1260</v>
      </c>
    </row>
    <row r="3" spans="1:3">
      <c r="A3" t="s">
        <v>1252</v>
      </c>
      <c r="B3" s="5">
        <f>SUM(Cleaned_Data!E2:E1201)</f>
        <v>125957</v>
      </c>
      <c r="C3" t="s">
        <v>1261</v>
      </c>
    </row>
    <row r="4" spans="1:3">
      <c r="A4" s="4" t="s">
        <v>1253</v>
      </c>
      <c r="B4" s="6">
        <f>AVERAGE(Cleaned_Data!E2:E1201)</f>
        <v>104.96416666666667</v>
      </c>
      <c r="C4" t="s">
        <v>1262</v>
      </c>
    </row>
    <row r="5" spans="1:3">
      <c r="A5" t="s">
        <v>1254</v>
      </c>
      <c r="B5" s="6">
        <f>MEDIAN(Cleaned_Data!E2:E1201)</f>
        <v>102</v>
      </c>
      <c r="C5" t="s">
        <v>1263</v>
      </c>
    </row>
    <row r="6" spans="1:3">
      <c r="A6" s="4" t="s">
        <v>1255</v>
      </c>
      <c r="B6" s="6">
        <f>_xlfn.STDEV.S(Cleaned_Data!E2:E1201)</f>
        <v>42.973404300837338</v>
      </c>
      <c r="C6" t="s">
        <v>1264</v>
      </c>
    </row>
    <row r="7" spans="1:3">
      <c r="A7" t="s">
        <v>1256</v>
      </c>
      <c r="B7" s="6">
        <f>AVERAGE(Cleaned_Data!R2:R1201)</f>
        <v>5.2949999999999999</v>
      </c>
      <c r="C7" t="s">
        <v>1265</v>
      </c>
    </row>
    <row r="8" spans="1:3">
      <c r="A8" s="4" t="s">
        <v>1257</v>
      </c>
      <c r="B8" s="6">
        <f>MAX(Cleaned_Data!R2:R1201)</f>
        <v>44</v>
      </c>
      <c r="C8" t="s">
        <v>1266</v>
      </c>
    </row>
    <row r="9" spans="1:3">
      <c r="A9" t="s">
        <v>1258</v>
      </c>
      <c r="B9" s="6">
        <f>AVERAGEIF(Cleaned_Data!M2:M1201, 0, Cleaned_Data!E2:E1201)</f>
        <v>104.5940366972477</v>
      </c>
      <c r="C9" t="s">
        <v>1267</v>
      </c>
    </row>
    <row r="10" spans="1:3">
      <c r="A10" s="4" t="s">
        <v>1259</v>
      </c>
      <c r="B10" s="6">
        <f>AVERAGEIF(Cleaned_Data!M2:M1201, 1, Cleaned_Data!E2:E1201)</f>
        <v>105.94817073170732</v>
      </c>
      <c r="C10" t="s">
        <v>1268</v>
      </c>
    </row>
    <row r="12" spans="1:3">
      <c r="A12" s="4"/>
    </row>
    <row r="14" spans="1:3">
      <c r="A14" s="4"/>
    </row>
    <row r="16" spans="1:3">
      <c r="A16"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121E-F17D-4E7E-A238-8DEA9610BC38}">
  <dimension ref="A3:J41"/>
  <sheetViews>
    <sheetView topLeftCell="I1" zoomScale="80" workbookViewId="0">
      <selection activeCell="J26" sqref="J26"/>
    </sheetView>
  </sheetViews>
  <sheetFormatPr defaultRowHeight="15"/>
  <cols>
    <col min="1" max="1" width="14.140625" bestFit="1" customWidth="1"/>
    <col min="2" max="2" width="24.42578125" bestFit="1" customWidth="1"/>
    <col min="5" max="5" width="14.140625" bestFit="1" customWidth="1"/>
    <col min="6" max="6" width="25.140625" bestFit="1" customWidth="1"/>
    <col min="9" max="9" width="14.140625" bestFit="1" customWidth="1"/>
    <col min="10" max="10" width="22" bestFit="1" customWidth="1"/>
  </cols>
  <sheetData>
    <row r="3" spans="1:10">
      <c r="A3" s="8" t="s">
        <v>1269</v>
      </c>
      <c r="B3" t="s">
        <v>1271</v>
      </c>
      <c r="E3" s="8" t="s">
        <v>1269</v>
      </c>
      <c r="F3" t="s">
        <v>1272</v>
      </c>
      <c r="I3" s="8" t="s">
        <v>1269</v>
      </c>
      <c r="J3" t="s">
        <v>1271</v>
      </c>
    </row>
    <row r="4" spans="1:10">
      <c r="A4" s="9" t="s">
        <v>45</v>
      </c>
      <c r="B4" s="1">
        <v>37262</v>
      </c>
      <c r="E4" s="9">
        <v>5</v>
      </c>
      <c r="F4" s="6">
        <v>95.120689655172413</v>
      </c>
      <c r="I4" s="9" t="s">
        <v>36</v>
      </c>
      <c r="J4" s="1">
        <v>19408</v>
      </c>
    </row>
    <row r="5" spans="1:10">
      <c r="A5" s="9" t="s">
        <v>29</v>
      </c>
      <c r="B5" s="1">
        <v>34029</v>
      </c>
      <c r="E5" s="9">
        <v>6</v>
      </c>
      <c r="F5" s="6">
        <v>106.81944444444444</v>
      </c>
      <c r="I5" s="9" t="s">
        <v>31</v>
      </c>
      <c r="J5" s="1">
        <v>34029</v>
      </c>
    </row>
    <row r="6" spans="1:10">
      <c r="A6" s="9" t="s">
        <v>34</v>
      </c>
      <c r="B6" s="1">
        <v>19408</v>
      </c>
      <c r="E6" s="9">
        <v>7</v>
      </c>
      <c r="F6" s="6">
        <v>107.72857142857143</v>
      </c>
      <c r="I6" s="9" t="s">
        <v>47</v>
      </c>
      <c r="J6" s="1">
        <v>37262</v>
      </c>
    </row>
    <row r="7" spans="1:10">
      <c r="A7" s="9" t="s">
        <v>59</v>
      </c>
      <c r="B7" s="1">
        <v>18136</v>
      </c>
      <c r="E7" s="9">
        <v>8</v>
      </c>
      <c r="F7" s="6">
        <v>109.08333333333333</v>
      </c>
      <c r="I7" s="9" t="s">
        <v>25</v>
      </c>
      <c r="J7" s="1">
        <v>17122</v>
      </c>
    </row>
    <row r="8" spans="1:10">
      <c r="A8" s="9" t="s">
        <v>23</v>
      </c>
      <c r="B8" s="1">
        <v>17122</v>
      </c>
      <c r="E8" s="9">
        <v>9</v>
      </c>
      <c r="F8" s="6">
        <v>102.95652173913044</v>
      </c>
      <c r="I8" s="9" t="s">
        <v>61</v>
      </c>
      <c r="J8" s="1">
        <v>18136</v>
      </c>
    </row>
    <row r="9" spans="1:10">
      <c r="A9" s="9" t="s">
        <v>1270</v>
      </c>
      <c r="B9" s="1">
        <v>125957</v>
      </c>
      <c r="E9" s="9">
        <v>10</v>
      </c>
      <c r="F9" s="6">
        <v>111.81967213114754</v>
      </c>
      <c r="I9" s="9" t="s">
        <v>1270</v>
      </c>
      <c r="J9" s="1">
        <v>125957</v>
      </c>
    </row>
    <row r="10" spans="1:10">
      <c r="E10" s="9">
        <v>11</v>
      </c>
      <c r="F10" s="6">
        <v>93.827586206896555</v>
      </c>
    </row>
    <row r="11" spans="1:10">
      <c r="E11" s="9">
        <v>12</v>
      </c>
      <c r="F11" s="6">
        <v>112.51470588235294</v>
      </c>
    </row>
    <row r="12" spans="1:10">
      <c r="E12" s="9">
        <v>13</v>
      </c>
      <c r="F12" s="6">
        <v>107.13698630136986</v>
      </c>
    </row>
    <row r="13" spans="1:10">
      <c r="E13" s="9">
        <v>14</v>
      </c>
      <c r="F13" s="6">
        <v>108.62711864406779</v>
      </c>
    </row>
    <row r="14" spans="1:10">
      <c r="E14" s="9">
        <v>15</v>
      </c>
      <c r="F14" s="6">
        <v>105.19354838709677</v>
      </c>
    </row>
    <row r="15" spans="1:10">
      <c r="E15" s="9">
        <v>16</v>
      </c>
      <c r="F15" s="6">
        <v>105.49350649350649</v>
      </c>
    </row>
    <row r="16" spans="1:10">
      <c r="E16" s="9">
        <v>17</v>
      </c>
      <c r="F16" s="6">
        <v>101.68571428571428</v>
      </c>
    </row>
    <row r="17" spans="1:6">
      <c r="E17" s="9">
        <v>18</v>
      </c>
      <c r="F17" s="6">
        <v>96.121212121212125</v>
      </c>
    </row>
    <row r="18" spans="1:6">
      <c r="A18" s="8" t="s">
        <v>1269</v>
      </c>
      <c r="B18" t="s">
        <v>1272</v>
      </c>
      <c r="E18" s="9">
        <v>19</v>
      </c>
      <c r="F18" s="6">
        <v>105.85</v>
      </c>
    </row>
    <row r="19" spans="1:6">
      <c r="A19" s="9" t="s">
        <v>38</v>
      </c>
      <c r="B19" s="6">
        <v>103.6441717791411</v>
      </c>
      <c r="E19" s="9">
        <v>20</v>
      </c>
      <c r="F19" s="6">
        <v>109.06779661016949</v>
      </c>
    </row>
    <row r="20" spans="1:6">
      <c r="A20" s="9" t="s">
        <v>65</v>
      </c>
      <c r="B20" s="6">
        <v>107.25170068027211</v>
      </c>
      <c r="E20" s="9">
        <v>21</v>
      </c>
      <c r="F20" s="6">
        <v>101.70967741935483</v>
      </c>
    </row>
    <row r="21" spans="1:6">
      <c r="A21" s="9" t="s">
        <v>26</v>
      </c>
      <c r="B21" s="6">
        <v>106.88340807174887</v>
      </c>
      <c r="E21" s="9">
        <v>22</v>
      </c>
      <c r="F21" s="6">
        <v>106.09375</v>
      </c>
    </row>
    <row r="22" spans="1:6">
      <c r="A22" s="9" t="s">
        <v>69</v>
      </c>
      <c r="B22" s="6">
        <v>104.38797814207651</v>
      </c>
      <c r="E22" s="9" t="s">
        <v>1270</v>
      </c>
      <c r="F22" s="6">
        <v>104.96416666666667</v>
      </c>
    </row>
    <row r="23" spans="1:6">
      <c r="A23" s="9" t="s">
        <v>56</v>
      </c>
      <c r="B23" s="6">
        <v>105.38271604938272</v>
      </c>
    </row>
    <row r="24" spans="1:6">
      <c r="A24" s="9" t="s">
        <v>49</v>
      </c>
      <c r="B24" s="6">
        <v>98.28025477707007</v>
      </c>
    </row>
    <row r="25" spans="1:6">
      <c r="A25" s="9" t="s">
        <v>32</v>
      </c>
      <c r="B25" s="6">
        <v>108.22424242424242</v>
      </c>
    </row>
    <row r="26" spans="1:6">
      <c r="A26" s="9" t="s">
        <v>1270</v>
      </c>
      <c r="B26" s="6">
        <v>104.96416666666667</v>
      </c>
    </row>
    <row r="29" spans="1:6">
      <c r="E29" s="8" t="s">
        <v>1269</v>
      </c>
      <c r="F29" t="s">
        <v>1272</v>
      </c>
    </row>
    <row r="30" spans="1:6">
      <c r="E30" s="9">
        <v>0</v>
      </c>
      <c r="F30" s="6">
        <v>105.46982358402971</v>
      </c>
    </row>
    <row r="31" spans="1:6">
      <c r="E31" s="9">
        <v>1</v>
      </c>
      <c r="F31" s="6">
        <v>100.53658536585365</v>
      </c>
    </row>
    <row r="32" spans="1:6">
      <c r="E32" s="9" t="s">
        <v>1270</v>
      </c>
      <c r="F32" s="6">
        <v>104.96416666666667</v>
      </c>
    </row>
    <row r="35" spans="1:2">
      <c r="A35" s="8" t="s">
        <v>1269</v>
      </c>
      <c r="B35" t="s">
        <v>1273</v>
      </c>
    </row>
    <row r="36" spans="1:2">
      <c r="A36" s="9" t="s">
        <v>45</v>
      </c>
      <c r="B36" s="6">
        <v>5.628571428571429</v>
      </c>
    </row>
    <row r="37" spans="1:2">
      <c r="A37" s="9" t="s">
        <v>29</v>
      </c>
      <c r="B37" s="6">
        <v>4.9233038348082596</v>
      </c>
    </row>
    <row r="38" spans="1:2">
      <c r="A38" s="9" t="s">
        <v>34</v>
      </c>
      <c r="B38" s="6">
        <v>5.3218390804597702</v>
      </c>
    </row>
    <row r="39" spans="1:2">
      <c r="A39" s="9" t="s">
        <v>59</v>
      </c>
      <c r="B39" s="6">
        <v>5.5892857142857144</v>
      </c>
    </row>
    <row r="40" spans="1:2">
      <c r="A40" s="9" t="s">
        <v>23</v>
      </c>
      <c r="B40" s="6">
        <v>5.0295857988165684</v>
      </c>
    </row>
    <row r="41" spans="1:2">
      <c r="A41" s="9" t="s">
        <v>1270</v>
      </c>
      <c r="B41" s="6">
        <v>5.2949999999999999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5265-A4DC-4677-A54E-03DD083C1490}">
  <dimension ref="A1:H2"/>
  <sheetViews>
    <sheetView showGridLines="0" tabSelected="1" topLeftCell="B1" zoomScale="73" zoomScaleNormal="118" workbookViewId="0">
      <selection activeCell="W42" sqref="W42"/>
    </sheetView>
  </sheetViews>
  <sheetFormatPr defaultRowHeight="15"/>
  <cols>
    <col min="2" max="2" width="16.85546875" customWidth="1"/>
    <col min="4" max="4" width="17.5703125" customWidth="1"/>
    <col min="6" max="6" width="22" customWidth="1"/>
    <col min="8" max="8" width="9.140625" customWidth="1"/>
  </cols>
  <sheetData>
    <row r="1" spans="1:8">
      <c r="A1" s="10" t="s">
        <v>1274</v>
      </c>
      <c r="B1" s="10"/>
      <c r="C1" s="10" t="s">
        <v>1275</v>
      </c>
      <c r="D1" s="10"/>
      <c r="E1" s="10" t="s">
        <v>1276</v>
      </c>
      <c r="F1" s="10"/>
      <c r="G1" s="10" t="s">
        <v>1277</v>
      </c>
      <c r="H1" s="10"/>
    </row>
    <row r="2" spans="1:8">
      <c r="A2" s="10">
        <f>Summary_KPIs!B2</f>
        <v>1200</v>
      </c>
      <c r="B2" s="10"/>
      <c r="C2" s="10">
        <f>Summary_KPIs!B3</f>
        <v>125957</v>
      </c>
      <c r="D2" s="10"/>
      <c r="E2" s="11">
        <f>Summary_KPIs!B4</f>
        <v>104.96416666666667</v>
      </c>
      <c r="F2" s="10"/>
      <c r="G2" s="11">
        <f>Summary_KPIs!B7</f>
        <v>5.2949999999999999</v>
      </c>
      <c r="H2" s="11"/>
    </row>
  </sheetData>
  <mergeCells count="8">
    <mergeCell ref="G1:H1"/>
    <mergeCell ref="G2:H2"/>
    <mergeCell ref="A2:B2"/>
    <mergeCell ref="C2:D2"/>
    <mergeCell ref="E2:F2"/>
    <mergeCell ref="A1:B1"/>
    <mergeCell ref="C1:D1"/>
    <mergeCell ref="E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1DD712-B423-448F-B888-2BA61E220B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Summary_KPIs</vt:lpstr>
      <vt:lpstr>Pivot_Analysis</vt:lpstr>
      <vt:lpstr>Summary_Dashboard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surendar s</dc:creator>
  <cp:lastModifiedBy>surendar s</cp:lastModifiedBy>
  <dcterms:created xsi:type="dcterms:W3CDTF">2026-10-13T05:50:44Z</dcterms:created>
  <dcterms:modified xsi:type="dcterms:W3CDTF">2026-10-13T06:41:15Z</dcterms:modified>
</cp:coreProperties>
</file>